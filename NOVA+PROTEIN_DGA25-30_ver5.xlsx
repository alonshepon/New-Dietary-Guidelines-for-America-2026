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Override ContentType="application/vnd.ms-excel.person+xml" PartName="/xl/persons/person.xml"/>
  <Override ContentType="application/vnd.openxmlformats-officedocument.spreadsheetml.worksheet+xml" PartName="/xl/worksheets/sheet6.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autoCompressPictures="false"/>
  <mc:AlternateContent xmlns:mc="http://schemas.openxmlformats.org/markup-compatibility/2006">
    <mc:Choice Requires="x15">
      <x15ac:absPath xmlns:x15ac="http://schemas.microsoft.com/office/spreadsheetml/2010/11/ac" url="/Users/alonshepon/Library/CloudStorage/GoogleDrive-alonshepon@gmail.com/My Drive/Main/Research topics/meat transition/"/>
    </mc:Choice>
  </mc:AlternateContent>
  <xr:revisionPtr revIDLastSave="0" documentId="13_ncr:1_{00548BAD-A672-6E40-BE80-6D2F22002EAA}" xr6:coauthVersionLast="47" xr6:coauthVersionMax="47" xr10:uidLastSave="{00000000-0000-0000-0000-000000000000}"/>
  <bookViews>
    <workbookView xWindow="0" yWindow="600" windowWidth="28800" windowHeight="15520"/>
  </bookViews>
  <sheets>
    <sheet name="Table of Contents" sheetId="6" r:id="rId1"/>
    <sheet name="diets" sheetId="2" r:id="rId2"/>
    <sheet name="nutrient content" sheetId="4" r:id="rId3"/>
    <sheet name="enviro" sheetId="3" r:id="rId4"/>
    <sheet name="summary" sheetId="5" r:id="rId5"/>
    <sheet name="NOVA" sheetId="7" r:id="rId11"/>
  </sheets>
  <definedNames>
    <definedName name="btbl2" localSheetId="1">diets!$A$76</definedName>
    <definedName name="btbl4fn1" localSheetId="1">diets!$A$5</definedName>
    <definedName name="btbl4fn10" localSheetId="1">diets!$A$39</definedName>
    <definedName name="btbl4fn11" localSheetId="1">diets!$A$40</definedName>
    <definedName name="btbl4fn12" localSheetId="1">diets!$A$43</definedName>
    <definedName name="btbl4fn13" localSheetId="1">diets!$A$44</definedName>
    <definedName name="btbl4fn2" localSheetId="1">diets!$A$14</definedName>
    <definedName name="btbl4fn3" localSheetId="1">diets!$A$16</definedName>
    <definedName name="btbl4fn4" localSheetId="1">diets!$A$18</definedName>
    <definedName name="btbl4fn5" localSheetId="1">diets!$A$19</definedName>
    <definedName name="btbl4fn6" localSheetId="1">diets!$A$24</definedName>
    <definedName name="btbl4fn7" localSheetId="1">diets!$A$26</definedName>
    <definedName name="btbl4fn8" localSheetId="1">diets!$A$33</definedName>
    <definedName name="btbl4fn9" localSheetId="1">diets!$A$38</definedName>
  </definedName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authors>
    <author/>
  </authors>
  <commentList>
    <comment ref="B1" authorId="0">
      <text>
        <r>
          <rPr>
            <sz val="18"/>
            <color theme="3"/>
            <rFont val="Calibri Light"/>
            <family val="2"/>
            <scheme val="major"/>
          </rPr>
          <t>These are the constituent food items, as written in column AB in the final "NHS2-2011 FFQ + environment" sheet.</t>
        </r>
      </text>
    </comment>
    <comment ref="C1" authorId="0">
      <text>
        <r>
          <rPr>
            <sz val="10"/>
            <color rgb="FF000000"/>
            <rFont val="Calibri"/>
            <family val="2"/>
          </rPr>
          <t>These categories are taken from Akshay's spreadsheet, to help us organize all of these food items, also FFQ Category in NHS2-2011FFQ Sheet, column B</t>
        </r>
      </text>
    </comment>
    <comment ref="D1" authorId="0">
      <text>
        <r>
          <rPr>
            <sz val="18"/>
            <color rgb="FF44546A"/>
            <rFont val="Calibri Light"/>
            <family val="2"/>
          </rPr>
          <t>These categories are taken from Akshay's spreadsheet, to help us organize all of these food items, also FFQ Category in NHS2-2011FFQ Sheet, column B</t>
        </r>
      </text>
    </comment>
    <comment ref="E1" authorId="0">
      <text>
        <r>
          <rPr>
            <sz val="10"/>
            <color rgb="FF000000"/>
            <rFont val="Calibri"/>
            <family val="2"/>
          </rPr>
          <t xml:space="preserve">Parent ingredients are those categories within which constituent's ingredients were combined and redivided.  These are “barley”, “beans”, “chocolate”, “chicken”, “corn”, “cow dairy”, “eggs”, “fruits”, “oat”, “palm”, “potato”, “soybean”, “sugar”, “wheat”, “vegetables”, and “fish”.
</t>
        </r>
        <r>
          <rPr>
            <sz val="10"/>
            <color rgb="FF000000"/>
            <rFont val="Calibri"/>
            <family val="2"/>
          </rPr>
          <t xml:space="preserve">
</t>
        </r>
        <r>
          <rPr>
            <sz val="10"/>
            <color rgb="FF000000"/>
            <rFont val="Calibri"/>
            <family val="2"/>
          </rPr>
          <t xml:space="preserve">For example, in the sherb11d recipe, neither corn syrup nor cornstarch equal 5% in column AA, but together they add up to above 5% of the final recipe.  Because they are both constituent items of the same parent ingredient, “(=corn)”, they are included in Column AB.
</t>
        </r>
        <r>
          <rPr>
            <sz val="10"/>
            <color rgb="FF000000"/>
            <rFont val="Calibri"/>
            <family val="2"/>
          </rPr>
          <t xml:space="preserve">
</t>
        </r>
        <r>
          <rPr>
            <sz val="10"/>
            <color rgb="FF000000"/>
            <rFont val="Calibri"/>
            <family val="2"/>
          </rPr>
          <t>*in column AB in the document: For all contributing items, the parent ingredient was documented by being written in parentheses with an equal "(=___)" sign</t>
        </r>
      </text>
    </comment>
    <comment ref="F1" authorId="0">
      <text>
        <r>
          <rPr>
            <sz val="10"/>
            <color rgb="FF000000"/>
            <rFont val="Calibri"/>
            <family val="2"/>
          </rPr>
          <t xml:space="preserve">In this column, include all other Food Items (column B) that share the same environmental values.
</t>
        </r>
        <r>
          <rPr>
            <sz val="10"/>
            <color rgb="FF000000"/>
            <rFont val="Calibri"/>
            <family val="2"/>
          </rPr>
          <t xml:space="preserve">
</t>
        </r>
        <r>
          <rPr>
            <sz val="10"/>
            <color rgb="FF000000"/>
            <rFont val="Calibri"/>
            <family val="2"/>
          </rPr>
          <t xml:space="preserve">Constituent ingredients are those which make up a parent ingredient, or final food item.  
</t>
        </r>
        <r>
          <rPr>
            <sz val="10"/>
            <color rgb="FF000000"/>
            <rFont val="Calibri"/>
            <family val="2"/>
          </rPr>
          <t xml:space="preserve">
</t>
        </r>
        <r>
          <rPr>
            <sz val="10"/>
            <color rgb="FF000000"/>
            <rFont val="Calibri"/>
            <family val="2"/>
          </rPr>
          <t>For example, the yogurt.frozen recipe (cells E40-E122) is derived from the following constituent ingredients: yogurt.frozen.lf, ice.cr.no.fat, ice.cr.ff.sf, ice.cr, yogurt.frozen, ice.cr.lt, sherb, peach, and jam.  Of these constituent ingredients, some of them are made of other constituent ingredients, such as milk, cream, etc.</t>
        </r>
      </text>
    </comment>
    <comment ref="Q1" authorId="0">
      <text>
        <r>
          <rPr>
            <sz val="10"/>
            <color rgb="FF000000"/>
            <rFont val="Calibri"/>
            <family val="2"/>
          </rPr>
          <t>These are the constituent food items, as written in column AB in the final "NHS2-2011 FFQ + environment" sheet.</t>
        </r>
      </text>
    </comment>
    <comment ref="R1" authorId="0">
      <text>
        <r>
          <rPr>
            <sz val="10"/>
            <color rgb="FF000000"/>
            <rFont val="Calibri"/>
            <family val="2"/>
          </rPr>
          <t xml:space="preserve">Range: 0-0.73724121212
</t>
        </r>
        <r>
          <rPr>
            <sz val="10"/>
            <color rgb="FF000000"/>
            <rFont val="Calibri"/>
            <family val="2"/>
          </rPr>
          <t xml:space="preserve">
</t>
        </r>
        <r>
          <rPr>
            <sz val="10"/>
            <color rgb="FF000000"/>
            <rFont val="Calibri"/>
            <family val="2"/>
          </rPr>
          <t>hamburger</t>
        </r>
      </text>
    </comment>
    <comment ref="S1" authorId="0">
      <text>
        <r>
          <rPr>
            <sz val="10"/>
            <color rgb="FF000000"/>
            <rFont val="Calibri"/>
            <family val="2"/>
          </rPr>
          <t xml:space="preserve">0-2.81624834796
</t>
        </r>
        <r>
          <rPr>
            <sz val="10"/>
            <color rgb="FF000000"/>
            <rFont val="Calibri"/>
            <family val="2"/>
          </rPr>
          <t xml:space="preserve">
</t>
        </r>
        <r>
          <rPr>
            <sz val="10"/>
            <color rgb="FF000000"/>
            <rFont val="Calibri"/>
            <family val="2"/>
          </rPr>
          <t>corn oil</t>
        </r>
      </text>
    </comment>
    <comment ref="T1" authorId="0">
      <text>
        <r>
          <rPr>
            <sz val="10"/>
            <color rgb="FF000000"/>
            <rFont val="Calibri"/>
            <family val="2"/>
          </rPr>
          <t xml:space="preserve">0-86.62500000000
</t>
        </r>
        <r>
          <rPr>
            <sz val="10"/>
            <color rgb="FF000000"/>
            <rFont val="Calibri"/>
            <family val="2"/>
          </rPr>
          <t xml:space="preserve">
</t>
        </r>
        <r>
          <rPr>
            <sz val="10"/>
            <color rgb="FF000000"/>
            <rFont val="Calibri"/>
            <family val="2"/>
          </rPr>
          <t>balsamic</t>
        </r>
      </text>
    </comment>
    <comment ref="U1" authorId="0">
      <text>
        <r>
          <rPr>
            <sz val="10"/>
            <color rgb="FF000000"/>
            <rFont val="Calibri"/>
            <family val="2"/>
            <scheme val="minor"/>
          </rPr>
          <t>0-0.04289384338
Arctic char, cooked (raw is high too)</t>
        </r>
      </text>
    </comment>
    <comment ref="W1" authorId="0">
      <text>
        <r>
          <rPr>
            <sz val="10"/>
            <color rgb="FF000000"/>
            <rFont val="Calibri"/>
            <family val="2"/>
            <scheme val="minor"/>
          </rPr>
          <t>These categories are taken from Akshay's spreadsheet, to help us organize all of these food items, also FFQ Category in NHS2-2011FFQ Sheet, column B</t>
        </r>
      </text>
    </comment>
    <comment ref="X1" authorId="0">
      <text>
        <r>
          <rPr>
            <sz val="10"/>
            <color rgb="FF000000"/>
            <rFont val="Calibri"/>
            <family val="2"/>
          </rPr>
          <t xml:space="preserve">Range: 0-0.73724121212
</t>
        </r>
        <r>
          <rPr>
            <sz val="10"/>
            <color rgb="FF000000"/>
            <rFont val="Calibri"/>
            <family val="2"/>
          </rPr>
          <t xml:space="preserve">
</t>
        </r>
        <r>
          <rPr>
            <sz val="10"/>
            <color rgb="FF000000"/>
            <rFont val="Calibri"/>
            <family val="2"/>
          </rPr>
          <t>hamburger</t>
        </r>
      </text>
    </comment>
    <comment ref="Y1" authorId="0">
      <text>
        <r>
          <rPr>
            <sz val="10"/>
            <color rgb="FF000000"/>
            <rFont val="Calibri"/>
            <family val="2"/>
          </rPr>
          <t xml:space="preserve">0-2.81624834796
</t>
        </r>
        <r>
          <rPr>
            <sz val="10"/>
            <color rgb="FF000000"/>
            <rFont val="Calibri"/>
            <family val="2"/>
          </rPr>
          <t xml:space="preserve">
</t>
        </r>
        <r>
          <rPr>
            <sz val="10"/>
            <color rgb="FF000000"/>
            <rFont val="Calibri"/>
            <family val="2"/>
          </rPr>
          <t>corn oil</t>
        </r>
      </text>
    </comment>
    <comment ref="Z1" authorId="0">
      <text>
        <r>
          <rPr>
            <sz val="10"/>
            <color rgb="FF000000"/>
            <rFont val="Calibri"/>
            <family val="2"/>
          </rPr>
          <t xml:space="preserve">0-86.62500000000
</t>
        </r>
        <r>
          <rPr>
            <sz val="10"/>
            <color rgb="FF000000"/>
            <rFont val="Calibri"/>
            <family val="2"/>
          </rPr>
          <t xml:space="preserve">
</t>
        </r>
        <r>
          <rPr>
            <sz val="10"/>
            <color rgb="FF000000"/>
            <rFont val="Calibri"/>
            <family val="2"/>
          </rPr>
          <t>balsamic</t>
        </r>
      </text>
    </comment>
    <comment ref="AA1" authorId="0">
      <text>
        <r>
          <rPr>
            <sz val="10"/>
            <color rgb="FF000000"/>
            <rFont val="Calibri"/>
            <family val="2"/>
          </rPr>
          <t xml:space="preserve">0-0.04289384338
</t>
        </r>
        <r>
          <rPr>
            <sz val="10"/>
            <color rgb="FF000000"/>
            <rFont val="Calibri"/>
            <family val="2"/>
          </rPr>
          <t xml:space="preserve">
</t>
        </r>
        <r>
          <rPr>
            <sz val="10"/>
            <color rgb="FF000000"/>
            <rFont val="Calibri"/>
            <family val="2"/>
          </rPr>
          <t>Arctic char, cooked (raw is high too)</t>
        </r>
      </text>
    </comment>
    <comment ref="AD1" authorId="0">
      <text>
        <r>
          <rPr>
            <sz val="10"/>
            <color rgb="FF000000"/>
            <rFont val="Calibri"/>
            <family val="2"/>
          </rPr>
          <t xml:space="preserve">Range: 0-0.73724121212
</t>
        </r>
        <r>
          <rPr>
            <sz val="10"/>
            <color rgb="FF000000"/>
            <rFont val="Calibri"/>
            <family val="2"/>
          </rPr>
          <t xml:space="preserve">
</t>
        </r>
        <r>
          <rPr>
            <sz val="10"/>
            <color rgb="FF000000"/>
            <rFont val="Calibri"/>
            <family val="2"/>
          </rPr>
          <t>hamburger</t>
        </r>
      </text>
    </comment>
    <comment ref="AE1" authorId="0">
      <text>
        <r>
          <rPr>
            <sz val="10"/>
            <color rgb="FF000000"/>
            <rFont val="Calibri"/>
            <family val="2"/>
          </rPr>
          <t xml:space="preserve">0-2.81624834796
</t>
        </r>
        <r>
          <rPr>
            <sz val="10"/>
            <color rgb="FF000000"/>
            <rFont val="Calibri"/>
            <family val="2"/>
          </rPr>
          <t xml:space="preserve">
</t>
        </r>
        <r>
          <rPr>
            <sz val="10"/>
            <color rgb="FF000000"/>
            <rFont val="Calibri"/>
            <family val="2"/>
          </rPr>
          <t>corn oil</t>
        </r>
      </text>
    </comment>
    <comment ref="AF1" authorId="0">
      <text>
        <r>
          <rPr>
            <sz val="10"/>
            <color rgb="FF000000"/>
            <rFont val="Calibri"/>
            <family val="2"/>
          </rPr>
          <t xml:space="preserve">0-86.62500000000
</t>
        </r>
        <r>
          <rPr>
            <sz val="10"/>
            <color rgb="FF000000"/>
            <rFont val="Calibri"/>
            <family val="2"/>
          </rPr>
          <t xml:space="preserve">
</t>
        </r>
        <r>
          <rPr>
            <sz val="10"/>
            <color rgb="FF000000"/>
            <rFont val="Calibri"/>
            <family val="2"/>
          </rPr>
          <t>balsamic</t>
        </r>
      </text>
    </comment>
    <comment ref="AG1" authorId="0">
      <text>
        <r>
          <rPr>
            <sz val="10"/>
            <color rgb="FF000000"/>
            <rFont val="Calibri"/>
            <family val="2"/>
          </rPr>
          <t xml:space="preserve">0-0.04289384338
</t>
        </r>
        <r>
          <rPr>
            <sz val="10"/>
            <color rgb="FF000000"/>
            <rFont val="Calibri"/>
            <family val="2"/>
          </rPr>
          <t xml:space="preserve">
</t>
        </r>
        <r>
          <rPr>
            <sz val="10"/>
            <color rgb="FF000000"/>
            <rFont val="Calibri"/>
            <family val="2"/>
          </rPr>
          <t>Arctic char, cooked (raw is high too)</t>
        </r>
      </text>
    </comment>
    <comment ref="AJ1" authorId="0">
      <text>
        <r>
          <rPr>
            <sz val="10"/>
            <color rgb="FF000000"/>
            <rFont val="Calibri"/>
            <family val="2"/>
            <scheme val="minor"/>
          </rPr>
          <t>Range: 0-0.73724121212
hamburger</t>
        </r>
      </text>
    </comment>
    <comment ref="AK1" authorId="0">
      <text>
        <r>
          <rPr>
            <sz val="10"/>
            <color rgb="FF000000"/>
            <rFont val="Calibri"/>
            <family val="2"/>
            <scheme val="minor"/>
          </rPr>
          <t>0-2.81624834796
corn oil</t>
        </r>
      </text>
    </comment>
    <comment ref="AL1" authorId="0">
      <text>
        <r>
          <rPr>
            <sz val="10"/>
            <color rgb="FF000000"/>
            <rFont val="Calibri"/>
            <family val="2"/>
            <scheme val="minor"/>
          </rPr>
          <t>0-86.62500000000
balsamic</t>
        </r>
      </text>
    </comment>
    <comment ref="AM1" authorId="0">
      <text>
        <r>
          <rPr>
            <sz val="10"/>
            <color rgb="FF000000"/>
            <rFont val="Calibri"/>
            <family val="2"/>
            <scheme val="minor"/>
          </rPr>
          <t>0-0.04289384338
Arctic char, cooked (raw is high too)</t>
        </r>
      </text>
    </comment>
    <comment ref="N5" authorId="0">
      <text>
        <r>
          <rPr>
            <sz val="10"/>
            <color rgb="FF000000"/>
            <rFont val="Calibri"/>
            <family val="2"/>
            <scheme val="minor"/>
          </rPr>
          <t>Used conversion ratio from additional calculations:
Barley to Beer</t>
        </r>
      </text>
    </comment>
    <comment ref="N6" authorId="0">
      <text>
        <r>
          <rPr>
            <sz val="10"/>
            <color rgb="FF000000"/>
            <rFont val="Calibri"/>
            <family val="2"/>
            <scheme val="minor"/>
          </rPr>
          <t>Used conversion ratio from additional calculations:
Barley to Beer to Light Beer</t>
        </r>
      </text>
    </comment>
    <comment ref="N8" authorId="0">
      <text>
        <r>
          <rPr>
            <sz val="10"/>
            <color rgb="FF000000"/>
            <rFont val="Calibri"/>
            <family val="2"/>
            <scheme val="minor"/>
          </rPr>
          <t>Used conversion ratio from additional calculations
Heller value for
"Grape, wine and sherry": "weight of wine or sherry"
=4.731</t>
        </r>
      </text>
    </comment>
    <comment ref="N9" authorId="0">
      <text>
        <r>
          <rPr>
            <sz val="10"/>
            <color rgb="FF000000"/>
            <rFont val="Calibri"/>
            <family val="2"/>
            <scheme val="minor"/>
          </rPr>
          <t>Used conversion ratio from additional calculations
Heller value for
"Grape, wine and sherry": "weight of wine or sherry"
=4.731</t>
        </r>
      </text>
    </comment>
    <comment ref="L10" authorId="0">
      <text>
        <r>
          <rPr>
            <sz val="10"/>
            <color rgb="FF000000"/>
            <rFont val="Calibri"/>
            <family val="2"/>
            <scheme val="minor"/>
          </rPr>
          <t>"Carrot, juice": "weight of juice at single strength (or standard dilution)"</t>
        </r>
      </text>
    </comment>
    <comment ref="N10" authorId="0">
      <text>
        <r>
          <rPr>
            <sz val="10"/>
            <color rgb="FF000000"/>
            <rFont val="Calibri"/>
            <family val="2"/>
            <scheme val="minor"/>
          </rPr>
          <t>Used conversion ratio from additional calculations
Heller value for
"Carrot, juice": "weight of juice at single strength (or standard dilution)"
=1.327</t>
        </r>
      </text>
    </comment>
    <comment ref="N11" authorId="0">
      <text>
        <r>
          <rPr>
            <sz val="10"/>
            <color rgb="FF000000"/>
            <rFont val="Calibri"/>
            <family val="2"/>
            <scheme val="minor"/>
          </rPr>
          <t>Used conversion ratio from additional calculations
Heller value for
"Tomato, juice"': "weight of juice at single strength (or standard dilution)"
=0.585</t>
        </r>
      </text>
    </comment>
    <comment ref="N12" authorId="0">
      <text>
        <r>
          <rPr>
            <sz val="10"/>
            <color rgb="FF000000"/>
            <rFont val="Calibri"/>
            <family val="2"/>
            <scheme val="minor"/>
          </rPr>
          <t>Used conversion ratio from additional calculations
Heller value for 
"Apple, juice": "weight of juice at single strength (or standard dilution)" = 0.803</t>
        </r>
      </text>
    </comment>
    <comment ref="L13" authorId="0">
      <text>
        <r>
          <rPr>
            <sz val="10"/>
            <color rgb="FF000000"/>
            <rFont val="Calibri"/>
            <family val="2"/>
            <scheme val="minor"/>
          </rPr>
          <t>"Cranberry, juice": "weight of juice at single strength (or standard dilution)"</t>
        </r>
      </text>
    </comment>
    <comment ref="N13" authorId="0">
      <text>
        <r>
          <rPr>
            <sz val="10"/>
            <color rgb="FF000000"/>
            <rFont val="Calibri"/>
            <family val="2"/>
            <scheme val="minor"/>
          </rPr>
          <t>Used conversion ratio from additional calculations
Heller value for
"Cranberry, juice": "weight of juice at single strength (or standard dilution)"
=0.159</t>
        </r>
      </text>
    </comment>
    <comment ref="N14" authorId="0">
      <text>
        <r>
          <rPr>
            <sz val="10"/>
            <color rgb="FF000000"/>
            <rFont val="Calibri"/>
            <family val="2"/>
            <scheme val="minor"/>
          </rPr>
          <t>Used conversion ratio from additional calculations
Heller value for
"Grape, juice": "weight of juice at single strength (or standard dilution)"
=4.331</t>
        </r>
      </text>
    </comment>
    <comment ref="N15" authorId="0">
      <text>
        <r>
          <rPr>
            <sz val="10"/>
            <color rgb="FF000000"/>
            <rFont val="Calibri"/>
            <family val="2"/>
            <scheme val="minor"/>
          </rPr>
          <t>Used conversion ratio from additional calculations
Heller value for
"Grapefruit, juice": "weight of juice at single strength (or standard dilution)"
=1.874</t>
        </r>
      </text>
    </comment>
    <comment ref="N16" authorId="0">
      <text>
        <r>
          <rPr>
            <sz val="10"/>
            <color rgb="FF000000"/>
            <rFont val="Calibri"/>
            <family val="2"/>
            <scheme val="minor"/>
          </rPr>
          <t>Used conversion ratio from additional calculations
Heller value for
"Lemon, juice": "weight of juice at single strength (or standard dilution)"
=11.362</t>
        </r>
      </text>
    </comment>
    <comment ref="N18" authorId="0">
      <text>
        <r>
          <rPr>
            <sz val="10"/>
            <color rgb="FF000000"/>
            <rFont val="Calibri"/>
            <family val="2"/>
            <scheme val="minor"/>
          </rPr>
          <t>No HSPH conversion method available
Heller Water Scarcity:
"Orange, juice": "weight of juice at single strength (or standard dilution)"</t>
        </r>
      </text>
    </comment>
    <comment ref="N19" authorId="0">
      <text>
        <r>
          <rPr>
            <sz val="10"/>
            <color rgb="FF000000"/>
            <rFont val="Calibri"/>
            <family val="2"/>
            <scheme val="minor"/>
          </rPr>
          <t>No HSPH conversion method available
Heller Water Scarcity:
"Orange, juice": "weight of juice at single strength (or standard dilution)"</t>
        </r>
      </text>
    </comment>
    <comment ref="N20" authorId="0">
      <text>
        <r>
          <rPr>
            <sz val="10"/>
            <color rgb="FF000000"/>
            <rFont val="Calibri"/>
            <family val="2"/>
          </rPr>
          <t xml:space="preserve">No HSPH conversion method available
</t>
        </r>
        <r>
          <rPr>
            <sz val="10"/>
            <color rgb="FF000000"/>
            <rFont val="Calibri"/>
            <family val="2"/>
          </rPr>
          <t xml:space="preserve">
</t>
        </r>
        <r>
          <rPr>
            <sz val="10"/>
            <color rgb="FF000000"/>
            <rFont val="Calibri"/>
            <family val="2"/>
          </rPr>
          <t xml:space="preserve">Heller Water Scarcity:
</t>
        </r>
        <r>
          <rPr>
            <sz val="10"/>
            <color rgb="FF000000"/>
            <rFont val="Calibri"/>
            <family val="2"/>
          </rPr>
          <t>"Orange, juice": "weight of juice at single strength (or standard dilution)"</t>
        </r>
      </text>
    </comment>
    <comment ref="N21" authorId="0">
      <text>
        <r>
          <rPr>
            <sz val="10"/>
            <color rgb="FF000000"/>
            <rFont val="Calibri"/>
            <family val="2"/>
          </rPr>
          <t xml:space="preserve">No HSPH conversion method available
</t>
        </r>
        <r>
          <rPr>
            <sz val="10"/>
            <color rgb="FF000000"/>
            <rFont val="Calibri"/>
            <family val="2"/>
          </rPr>
          <t xml:space="preserve">
</t>
        </r>
        <r>
          <rPr>
            <sz val="10"/>
            <color rgb="FF000000"/>
            <rFont val="Calibri"/>
            <family val="2"/>
          </rPr>
          <t xml:space="preserve">Heller Water Scarcity:
</t>
        </r>
        <r>
          <rPr>
            <sz val="10"/>
            <color rgb="FF000000"/>
            <rFont val="Calibri"/>
            <family val="2"/>
          </rPr>
          <t>"Pineapple, juice": "weight of juice at single strength (or standard dilution)"</t>
        </r>
      </text>
    </comment>
    <comment ref="N22" authorId="0">
      <text>
        <r>
          <rPr>
            <sz val="10"/>
            <color rgb="FF000000"/>
            <rFont val="Calibri"/>
            <family val="2"/>
            <scheme val="minor"/>
          </rPr>
          <t>Used conversion ratio from additional calculations
Heller value for
"Plum, prune, juice": "weight of juice at single strength (or standard dilution)"
=8.277</t>
        </r>
      </text>
    </comment>
    <comment ref="N23" authorId="0">
      <text>
        <r>
          <rPr>
            <sz val="10"/>
            <color rgb="FF000000"/>
            <rFont val="Calibri"/>
            <family val="2"/>
            <scheme val="minor"/>
          </rPr>
          <t>No HSPH conversion method available
Heller Water Scarcity:
"Pomegranate, juice":
"N/A - Does not exist in "commodity vocabulary" weight basis file in current or previous release"</t>
        </r>
      </text>
    </comment>
    <comment ref="N24" authorId="0">
      <text>
        <r>
          <rPr>
            <sz val="10"/>
            <color rgb="FF000000"/>
            <rFont val="Calibri"/>
            <family val="2"/>
            <scheme val="minor"/>
          </rPr>
          <t>derived from Heller water scarcity value for:
"Corn, field, flour	dry weight of whole grain flour; masa harina"
Through HSPH conversion calculation</t>
        </r>
      </text>
    </comment>
    <comment ref="N25" authorId="0">
      <text>
        <r>
          <rPr>
            <sz val="10"/>
            <color rgb="FF000000"/>
            <rFont val="Calibri"/>
            <family val="2"/>
            <scheme val="minor"/>
          </rPr>
          <t>Gidon Correspondence: alternative sweetener attributes are negligible</t>
        </r>
      </text>
    </comment>
    <comment ref="N26" authorId="0">
      <text>
        <r>
          <rPr>
            <sz val="10"/>
            <color rgb="FF000000"/>
            <rFont val="Calibri"/>
            <family val="2"/>
            <scheme val="minor"/>
          </rPr>
          <t>Gidon Correspondence: alternative sweetener attributes are negligible</t>
        </r>
      </text>
    </comment>
    <comment ref="N27" authorId="0">
      <text>
        <r>
          <rPr>
            <sz val="10"/>
            <color rgb="FF000000"/>
            <rFont val="Calibri"/>
            <family val="2"/>
            <scheme val="minor"/>
          </rPr>
          <t>derived from Heller water scarcity value for:
"Corn, field, flour	dry weight of whole grain flour; masa harina"
Through HSPH conversion calculation</t>
        </r>
      </text>
    </comment>
    <comment ref="N28" authorId="0">
      <text>
        <r>
          <rPr>
            <sz val="10"/>
            <color rgb="FF000000"/>
            <rFont val="Calibri"/>
            <family val="2"/>
            <scheme val="minor"/>
          </rPr>
          <t>Used conversion ratio from additional calculations
Marty value for
"Coffee, roasted bean": "dry weight of bean"
=7.115</t>
        </r>
      </text>
    </comment>
    <comment ref="N29" authorId="0">
      <text>
        <r>
          <rPr>
            <sz val="10"/>
            <color rgb="FF000000"/>
            <rFont val="Calibri"/>
            <family val="2"/>
            <scheme val="minor"/>
          </rPr>
          <t>Used conversion ratio from additional calculations
Marty value for
"Coffee, roasted bean": "dry weight of bean"
=7.115</t>
        </r>
      </text>
    </comment>
    <comment ref="N30" authorId="0">
      <text>
        <r>
          <rPr>
            <sz val="10"/>
            <color rgb="FF000000"/>
            <rFont val="Calibri"/>
            <family val="2"/>
            <scheme val="minor"/>
          </rPr>
          <t>Used conversion ratio from additional calculations
Marty value for
"Coffee, roasted bean": "dry weight of bean"
=7.115</t>
        </r>
      </text>
    </comment>
    <comment ref="N31" authorId="0">
      <text>
        <r>
          <rPr>
            <sz val="10"/>
            <color rgb="FF000000"/>
            <rFont val="Calibri"/>
            <family val="2"/>
            <scheme val="minor"/>
          </rPr>
          <t>Heller water scarcity value for:
"Tea, dried" "dry weight of tea leaves"</t>
        </r>
      </text>
    </comment>
    <comment ref="N32" authorId="0">
      <text>
        <r>
          <rPr>
            <sz val="10"/>
            <color rgb="FF000000"/>
            <rFont val="Calibri"/>
            <family val="2"/>
            <scheme val="minor"/>
          </rPr>
          <t>Heller water scarcity value for:
"Tea, dried" "dry weight of tea leaves"</t>
        </r>
      </text>
    </comment>
    <comment ref="N33" authorId="0">
      <text>
        <r>
          <rPr>
            <sz val="10"/>
            <color rgb="FF000000"/>
            <rFont val="Calibri"/>
            <family val="2"/>
            <scheme val="minor"/>
          </rPr>
          <t>Used conversion ratio from additional calculations
derived from Heller Water Scarcity value for:
"Milk, fat": "weight of nutrient fat only"
= 3.085
which is the same as
"Milk, nonfat solids": "Remaining weight of milk after subtracting milk fat and moisture content of milk"
=3.085</t>
        </r>
      </text>
    </comment>
    <comment ref="N35" authorId="0">
      <text>
        <r>
          <rPr>
            <sz val="10"/>
            <color rgb="FF000000"/>
            <rFont val="Calibri"/>
            <family val="2"/>
            <scheme val="minor"/>
          </rPr>
          <t>Used conversion ratio from additional calculations
derived from Heller Water Scarcity value for:
"Milk, fat": "weight of nutrient fat only"
= 3.085
which is the same as
"Milk, nonfat solids": "Remaining weight of milk after subtracting milk fat and moisture content of milk"
=3.085</t>
        </r>
      </text>
    </comment>
    <comment ref="N36" authorId="0">
      <text>
        <r>
          <rPr>
            <sz val="10"/>
            <color rgb="FF000000"/>
            <rFont val="Calibri"/>
            <family val="2"/>
            <scheme val="minor"/>
          </rPr>
          <t>Used conversion ratio from additional calculations
derived from Heller Water Scarcity value for:
"Milk, fat": "weight of nutrient fat only"
= 3.085
which is the same as
"Milk, nonfat solids": "Remaining weight of milk after subtracting milk fat and moisture content of milk"
=3.085</t>
        </r>
      </text>
    </comment>
    <comment ref="N37" authorId="0">
      <text>
        <r>
          <rPr>
            <sz val="10"/>
            <color rgb="FF000000"/>
            <rFont val="Calibri"/>
            <family val="2"/>
            <scheme val="minor"/>
          </rPr>
          <t>Used conversion ratio from additional calculations
derived from Heller Water Scarcity value for:
"Milk, fat": "weight of nutrient fat only"
= 3.085
which is the same as
"Milk, nonfat solids": "Remaining weight of milk after subtracting milk fat and moisture content of milk"
=3.085</t>
        </r>
      </text>
    </comment>
    <comment ref="N38" authorId="0">
      <text>
        <r>
          <rPr>
            <sz val="10"/>
            <color rgb="FF000000"/>
            <rFont val="Calibri"/>
            <family val="2"/>
            <scheme val="minor"/>
          </rPr>
          <t>Used conversion ratio from additional calculations
derived from Heller Water Scarcity value for:
"Milk, fat": "weight of nutrient fat only"
= 3.085
which is the same as
"Milk, nonfat solids": "Remaining weight of milk after subtracting milk fat and moisture content of milk"
=3.085</t>
        </r>
      </text>
    </comment>
    <comment ref="N39" authorId="0">
      <text>
        <r>
          <rPr>
            <sz val="10"/>
            <color rgb="FF000000"/>
            <rFont val="Calibri"/>
            <family val="2"/>
            <scheme val="minor"/>
          </rPr>
          <t>Used conversion ratio from additional calculations
derived from Heller Water Scarcity value for:
"Milk, fat": "weight of nutrient fat only"
= 3.085
which is the same as
"Milk, nonfat solids": "Remaining weight of milk after subtracting milk fat and moisture content of milk"
=3.085</t>
        </r>
      </text>
    </comment>
    <comment ref="N40" authorId="0">
      <text>
        <r>
          <rPr>
            <sz val="10"/>
            <color rgb="FF000000"/>
            <rFont val="Calibri"/>
            <family val="2"/>
            <scheme val="minor"/>
          </rPr>
          <t>Used conversion ratio from additional calculations
derived from Heller Water Scarcity value for:
"Milk, fat": "weight of nutrient fat only"
= 3.085
which is the same as
"Milk, nonfat solids": "Remaining weight of milk after subtracting milk fat and moisture content of milk"
=3.085</t>
        </r>
      </text>
    </comment>
    <comment ref="N41" authorId="0">
      <text>
        <r>
          <rPr>
            <sz val="10"/>
            <color rgb="FF000000"/>
            <rFont val="Calibri"/>
            <family val="2"/>
          </rPr>
          <t xml:space="preserve">Used conversion ratio from additional calculations
</t>
        </r>
        <r>
          <rPr>
            <sz val="10"/>
            <color rgb="FF000000"/>
            <rFont val="Calibri"/>
            <family val="2"/>
          </rPr>
          <t xml:space="preserve">
</t>
        </r>
        <r>
          <rPr>
            <sz val="10"/>
            <color rgb="FF000000"/>
            <rFont val="Calibri"/>
            <family val="2"/>
          </rPr>
          <t xml:space="preserve">derived from Heller Water Scarcity value for:
</t>
        </r>
        <r>
          <rPr>
            <sz val="10"/>
            <color rgb="FF000000"/>
            <rFont val="Calibri"/>
            <family val="2"/>
          </rPr>
          <t xml:space="preserve">"Milk, fat": "weight of nutrient fat only"
</t>
        </r>
        <r>
          <rPr>
            <sz val="10"/>
            <color rgb="FF000000"/>
            <rFont val="Calibri"/>
            <family val="2"/>
          </rPr>
          <t xml:space="preserve">= 3.085
</t>
        </r>
        <r>
          <rPr>
            <sz val="10"/>
            <color rgb="FF000000"/>
            <rFont val="Calibri"/>
            <family val="2"/>
          </rPr>
          <t xml:space="preserve">
</t>
        </r>
        <r>
          <rPr>
            <sz val="10"/>
            <color rgb="FF000000"/>
            <rFont val="Calibri"/>
            <family val="2"/>
          </rPr>
          <t xml:space="preserve">which is the same as
</t>
        </r>
        <r>
          <rPr>
            <sz val="10"/>
            <color rgb="FF000000"/>
            <rFont val="Calibri"/>
            <family val="2"/>
          </rPr>
          <t xml:space="preserve">"Milk, nonfat solids": "Remaining weight of milk after subtracting milk fat and moisture content of milk"
</t>
        </r>
        <r>
          <rPr>
            <sz val="10"/>
            <color rgb="FF000000"/>
            <rFont val="Calibri"/>
            <family val="2"/>
          </rPr>
          <t>=3.085</t>
        </r>
      </text>
    </comment>
    <comment ref="N42" authorId="0">
      <text>
        <r>
          <rPr>
            <sz val="10"/>
            <color rgb="FF000000"/>
            <rFont val="Calibri"/>
            <family val="2"/>
            <scheme val="minor"/>
          </rPr>
          <t>Used conversion ratio from additional calculations
derived from Heller Water Scarcity value for:
"Milk, fat": "weight of nutrient fat only"
= 3.085
which is the same as
"Milk, nonfat solids": "Remaining weight of milk after subtracting milk fat and moisture content of milk"
=3.085</t>
        </r>
      </text>
    </comment>
    <comment ref="N43" authorId="0">
      <text>
        <r>
          <rPr>
            <sz val="10"/>
            <color rgb="FF000000"/>
            <rFont val="Calibri"/>
            <family val="2"/>
            <scheme val="minor"/>
          </rPr>
          <t>Used conversion ratio from additional calculations
derived from Heller Water Scarcity value for:
"Milk, fat": "weight of nutrient fat only"
= 3.085
which is the same as
"Milk, nonfat solids": "Remaining weight of milk after subtracting milk fat and moisture content of milk"
=3.085</t>
        </r>
      </text>
    </comment>
    <comment ref="N44" authorId="0">
      <text>
        <r>
          <rPr>
            <sz val="10"/>
            <color rgb="FF000000"/>
            <rFont val="Calibri"/>
            <family val="2"/>
          </rPr>
          <t xml:space="preserve">Used conversion ratio from additional calculations
</t>
        </r>
        <r>
          <rPr>
            <sz val="10"/>
            <color rgb="FF000000"/>
            <rFont val="Calibri"/>
            <family val="2"/>
          </rPr>
          <t xml:space="preserve">
</t>
        </r>
        <r>
          <rPr>
            <sz val="10"/>
            <color rgb="FF000000"/>
            <rFont val="Calibri"/>
            <family val="2"/>
          </rPr>
          <t xml:space="preserve">derived from Heller Water Scarcity value for:
</t>
        </r>
        <r>
          <rPr>
            <sz val="10"/>
            <color rgb="FF000000"/>
            <rFont val="Calibri"/>
            <family val="2"/>
          </rPr>
          <t xml:space="preserve">"Milk, fat": "weight of nutrient fat only"
</t>
        </r>
        <r>
          <rPr>
            <sz val="10"/>
            <color rgb="FF000000"/>
            <rFont val="Calibri"/>
            <family val="2"/>
          </rPr>
          <t xml:space="preserve">= 3.085
</t>
        </r>
        <r>
          <rPr>
            <sz val="10"/>
            <color rgb="FF000000"/>
            <rFont val="Calibri"/>
            <family val="2"/>
          </rPr>
          <t xml:space="preserve">
</t>
        </r>
        <r>
          <rPr>
            <sz val="10"/>
            <color rgb="FF000000"/>
            <rFont val="Calibri"/>
            <family val="2"/>
          </rPr>
          <t xml:space="preserve">which is the same as
</t>
        </r>
        <r>
          <rPr>
            <sz val="10"/>
            <color rgb="FF000000"/>
            <rFont val="Calibri"/>
            <family val="2"/>
          </rPr>
          <t xml:space="preserve">"Milk, nonfat solids": "Remaining weight of milk after subtracting milk fat and moisture content of milk"
</t>
        </r>
        <r>
          <rPr>
            <sz val="10"/>
            <color rgb="FF000000"/>
            <rFont val="Calibri"/>
            <family val="2"/>
          </rPr>
          <t>=3.085</t>
        </r>
      </text>
    </comment>
    <comment ref="N45" authorId="0">
      <text>
        <r>
          <rPr>
            <sz val="10"/>
            <color rgb="FF000000"/>
            <rFont val="Calibri"/>
            <family val="2"/>
            <scheme val="minor"/>
          </rPr>
          <t>Used conversion ratio from additional calculations
derived from Heller Water Scarcity value for:
"Milk, fat": "weight of nutrient fat only"
= 3.085
which is the same as
"Milk, nonfat solids": "Remaining weight of milk after subtracting milk fat and moisture content of milk"
=3.085</t>
        </r>
      </text>
    </comment>
    <comment ref="N46" authorId="0">
      <text>
        <r>
          <rPr>
            <sz val="10"/>
            <color rgb="FF000000"/>
            <rFont val="Calibri"/>
            <family val="2"/>
            <scheme val="minor"/>
          </rPr>
          <t>Used conversion ratio from additional calculations
derived from Heller Water Scarcity value for:
"Milk, fat": "weight of nutrient fat only"
= 3.085
which is the same as
"Milk, nonfat solids": "Remaining weight of milk after subtracting milk fat and moisture content of milk"
=3.085</t>
        </r>
      </text>
    </comment>
    <comment ref="N47" authorId="0">
      <text>
        <r>
          <rPr>
            <sz val="10"/>
            <color rgb="FF000000"/>
            <rFont val="Calibri"/>
            <family val="2"/>
            <scheme val="minor"/>
          </rPr>
          <t>Used conversion ratio from additional calculations
derived from Heller Water Scarcity value for:
"Milk, fat": "weight of nutrient fat only"
= 3.085
which is the same as
"Milk, nonfat solids": "Remaining weight of milk after subtracting milk fat and moisture content of milk"
=3.085</t>
        </r>
      </text>
    </comment>
    <comment ref="N53" authorId="0">
      <text>
        <r>
          <rPr>
            <sz val="10"/>
            <color rgb="FF000000"/>
            <rFont val="Calibri"/>
            <family val="2"/>
            <scheme val="minor"/>
          </rPr>
          <t>Used conversion ratio from additional calculations
derived from Heller Water Scarcity value for:
"Milk, fat": "weight of nutrient fat only"
= 3.085
which is the same as
"Milk, nonfat solids": "Remaining weight of milk after subtracting milk fat and moisture content of milk"
=3.085</t>
        </r>
      </text>
    </comment>
    <comment ref="N54" authorId="0">
      <text>
        <r>
          <rPr>
            <sz val="10"/>
            <color rgb="FF000000"/>
            <rFont val="Calibri"/>
            <family val="2"/>
            <scheme val="minor"/>
          </rPr>
          <t>Used conversion ratio from additional calculations
derived from Heller Water Scarcity value for:
"Milk, fat": "weight of nutrient fat only"
= 3.085
which is the same as
"Milk, nonfat solids": "Remaining weight of milk after subtracting milk fat and moisture content of milk"
=3.085</t>
        </r>
      </text>
    </comment>
    <comment ref="N55" authorId="0">
      <text>
        <r>
          <rPr>
            <sz val="10"/>
            <color rgb="FF000000"/>
            <rFont val="Calibri"/>
            <family val="2"/>
            <scheme val="minor"/>
          </rPr>
          <t>Used conversion ratio from additional calculations
derived from Heller Water Scarcity value for:
"Milk, fat": "weight of nutrient fat only"
= 3.085
which is the same as
"Milk, nonfat solids": "Remaining weight of milk after subtracting milk fat and moisture content of milk"
=3.085</t>
        </r>
      </text>
    </comment>
    <comment ref="N56" authorId="0">
      <text>
        <r>
          <rPr>
            <sz val="10"/>
            <color rgb="FF000000"/>
            <rFont val="Calibri"/>
            <family val="2"/>
            <scheme val="minor"/>
          </rPr>
          <t>Used conversion ratio from additional calculations
derived from Heller Water Scarcity value for:
"Milk, fat": "weight of nutrient fat only"
= 3.085
which is the same as
"Milk, nonfat solids": "Remaining weight of milk after subtracting milk fat and moisture content of milk"
=3.085</t>
        </r>
      </text>
    </comment>
    <comment ref="N57" authorId="0">
      <text>
        <r>
          <rPr>
            <sz val="10"/>
            <color rgb="FF000000"/>
            <rFont val="Calibri"/>
            <family val="2"/>
            <scheme val="minor"/>
          </rPr>
          <t>Used conversion ratio from additional calculations
derived from Heller Water Scarcity value for:
"Milk, fat": "weight of nutrient fat only"
= 3.085
which is the same as
"Milk, nonfat solids": "Remaining weight of milk after subtracting milk fat and moisture content of milk"
=3.085</t>
        </r>
      </text>
    </comment>
    <comment ref="N67" authorId="0">
      <text>
        <r>
          <rPr>
            <sz val="10"/>
            <color rgb="FF000000"/>
            <rFont val="Calibri"/>
            <family val="2"/>
            <scheme val="minor"/>
          </rPr>
          <t>Heller WSF value for:
Fish-saltwater finfish, tuna</t>
        </r>
      </text>
    </comment>
    <comment ref="N68" authorId="0">
      <text>
        <r>
          <rPr>
            <sz val="10"/>
            <color rgb="FF000000"/>
            <rFont val="Calibri"/>
            <family val="2"/>
            <scheme val="minor"/>
          </rPr>
          <t>Heller WSF value for:
"Fish-shellfish, mollusc"</t>
        </r>
      </text>
    </comment>
    <comment ref="N70" authorId="0">
      <text>
        <r>
          <rPr>
            <sz val="10"/>
            <color rgb="FF000000"/>
            <rFont val="Calibri"/>
            <family val="2"/>
            <scheme val="minor"/>
          </rPr>
          <t>Heller WSF value for:
"Fish-freshwater finfish, farm raised"</t>
        </r>
      </text>
    </comment>
    <comment ref="N71" authorId="0">
      <text>
        <r>
          <rPr>
            <sz val="10"/>
            <color rgb="FF000000"/>
            <rFont val="Calibri"/>
            <family val="2"/>
            <scheme val="minor"/>
          </rPr>
          <t>Heller WSF value for:
"Fish-freshwater finfish, farm raised"</t>
        </r>
      </text>
    </comment>
    <comment ref="N73" authorId="0">
      <text>
        <r>
          <rPr>
            <sz val="10"/>
            <color rgb="FF000000"/>
            <rFont val="Calibri"/>
            <family val="2"/>
            <scheme val="minor"/>
          </rPr>
          <t>Heller WSF value for:
"Fish-freshwater finfish, farm raised"</t>
        </r>
      </text>
    </comment>
    <comment ref="N74" authorId="0">
      <text>
        <r>
          <rPr>
            <sz val="10"/>
            <color rgb="FF000000"/>
            <rFont val="Calibri"/>
            <family val="2"/>
            <scheme val="minor"/>
          </rPr>
          <t>Heller WSF value for:
"Fish-saltwater finfish, other"</t>
        </r>
      </text>
    </comment>
    <comment ref="N75" authorId="0">
      <text>
        <r>
          <rPr>
            <sz val="10"/>
            <color rgb="FF000000"/>
            <rFont val="Calibri"/>
            <family val="2"/>
            <scheme val="minor"/>
          </rPr>
          <t>Heller WSF value for:
"Fish-shellfish, mollusc"</t>
        </r>
      </text>
    </comment>
    <comment ref="N76" authorId="0">
      <text>
        <r>
          <rPr>
            <sz val="10"/>
            <color rgb="FF000000"/>
            <rFont val="Calibri"/>
            <family val="2"/>
            <scheme val="minor"/>
          </rPr>
          <t>Heller WSF value for:
"Fish-saltwater finfish, other"</t>
        </r>
      </text>
    </comment>
    <comment ref="N77" authorId="0">
      <text>
        <r>
          <rPr>
            <sz val="10"/>
            <color rgb="FF000000"/>
            <rFont val="Calibri"/>
            <family val="2"/>
            <scheme val="minor"/>
          </rPr>
          <t>Heller WSF value for:
"Fish-saltwater finfish, other"</t>
        </r>
      </text>
    </comment>
    <comment ref="N78" authorId="0">
      <text>
        <r>
          <rPr>
            <sz val="10"/>
            <color rgb="FF000000"/>
            <rFont val="Calibri"/>
            <family val="2"/>
            <scheme val="minor"/>
          </rPr>
          <t>Heller WSF value for:
"Fish-saltwater finfish, other"</t>
        </r>
      </text>
    </comment>
    <comment ref="N79" authorId="0">
      <text>
        <r>
          <rPr>
            <sz val="10"/>
            <color rgb="FF000000"/>
            <rFont val="Calibri"/>
            <family val="2"/>
            <scheme val="minor"/>
          </rPr>
          <t>Heller WSF value for:
"Fish-saltwater finfish, other"</t>
        </r>
      </text>
    </comment>
    <comment ref="N80" authorId="0">
      <text>
        <r>
          <rPr>
            <sz val="10"/>
            <color rgb="FF000000"/>
            <rFont val="Calibri"/>
            <family val="2"/>
            <scheme val="minor"/>
          </rPr>
          <t>Heller WSF value for:
"Fish-saltwater finfish, other"</t>
        </r>
      </text>
    </comment>
    <comment ref="N81" authorId="0">
      <text>
        <r>
          <rPr>
            <sz val="10"/>
            <color rgb="FF000000"/>
            <rFont val="Calibri"/>
            <family val="2"/>
            <scheme val="minor"/>
          </rPr>
          <t>Heller WSF value for:
"Fish-saltwater finfish, other"</t>
        </r>
      </text>
    </comment>
    <comment ref="N83" authorId="0">
      <text>
        <r>
          <rPr>
            <sz val="10"/>
            <color rgb="FF000000"/>
            <rFont val="Calibri"/>
            <family val="2"/>
            <scheme val="minor"/>
          </rPr>
          <t>Heller WSF value for:
"Fish-saltwater finfish, other"</t>
        </r>
      </text>
    </comment>
    <comment ref="N84" authorId="0">
      <text>
        <r>
          <rPr>
            <sz val="10"/>
            <color rgb="FF000000"/>
            <rFont val="Calibri"/>
            <family val="2"/>
            <scheme val="minor"/>
          </rPr>
          <t>Heller WSF value for:
"Fish-saltwater finfish, other"</t>
        </r>
      </text>
    </comment>
    <comment ref="N85" authorId="0">
      <text>
        <r>
          <rPr>
            <sz val="10"/>
            <color rgb="FF000000"/>
            <rFont val="Calibri"/>
            <family val="2"/>
            <scheme val="minor"/>
          </rPr>
          <t>Heller WSF value for:
Fish-saltwater finfish, tuna</t>
        </r>
      </text>
    </comment>
    <comment ref="L91" authorId="0">
      <text>
        <r>
          <rPr>
            <sz val="10"/>
            <color rgb="FF000000"/>
            <rFont val="Calibri"/>
            <family val="2"/>
            <scheme val="minor"/>
          </rPr>
          <t>"Oranges": "weight of pulp; excluding seeds and peel"</t>
        </r>
      </text>
    </comment>
    <comment ref="B95" authorId="0">
      <text>
        <r>
          <rPr>
            <sz val="10"/>
            <color rgb="FF000000"/>
            <rFont val="Calibri"/>
            <family val="2"/>
            <scheme val="minor"/>
          </rPr>
          <t xml:space="preserve">correct spelling
</t>
        </r>
      </text>
    </comment>
    <comment ref="Q95" authorId="0">
      <text>
        <r>
          <rPr>
            <sz val="10"/>
            <color rgb="FF000000"/>
            <rFont val="Calibri"/>
            <family val="2"/>
            <scheme val="minor"/>
          </rPr>
          <t xml:space="preserve">correct spelling
</t>
        </r>
      </text>
    </comment>
    <comment ref="B97" authorId="0">
      <text>
        <r>
          <rPr>
            <sz val="10"/>
            <color rgb="FF000000"/>
            <rFont val="Calibri"/>
            <family val="2"/>
            <scheme val="minor"/>
          </rPr>
          <t>"1 slice"
in HPFS 1986, NHS 1986</t>
        </r>
      </text>
    </comment>
    <comment ref="Q97" authorId="0">
      <text>
        <r>
          <rPr>
            <sz val="10"/>
            <color rgb="FF000000"/>
            <rFont val="Calibri"/>
            <family val="2"/>
            <scheme val="minor"/>
          </rPr>
          <t>"1 slice"
in HPFS 1986, NHS 1986</t>
        </r>
      </text>
    </comment>
    <comment ref="N110" authorId="0">
      <text>
        <r>
          <rPr>
            <sz val="10"/>
            <color rgb="FF000000"/>
            <rFont val="Calibri"/>
            <family val="2"/>
            <scheme val="minor"/>
          </rPr>
          <t>Used conversion ratio from additional calculations
Heller value for 
"Apple, dried": "dry weight; excluding peel, core, stem" 
=3.293</t>
        </r>
      </text>
    </comment>
    <comment ref="N111" authorId="0">
      <text>
        <r>
          <rPr>
            <sz val="10"/>
            <color rgb="FF000000"/>
            <rFont val="Calibri"/>
            <family val="2"/>
            <scheme val="minor"/>
          </rPr>
          <t>Used conversion ratio from additional calculations
Heller value for 
"Apricot, dried": "dry weight of pulp, with or without peel; excluding pit" 
=33.919</t>
        </r>
      </text>
    </comment>
    <comment ref="N113" authorId="0">
      <text>
        <r>
          <rPr>
            <sz val="10"/>
            <color rgb="FF000000"/>
            <rFont val="Calibri"/>
            <family val="2"/>
            <scheme val="minor"/>
          </rPr>
          <t>Used conversion ratio from additional calculations
Heller value for 
"Cranberry, dried": "dry weight; excluding peel, core, stem" 
=8.11</t>
        </r>
      </text>
    </comment>
    <comment ref="N114" authorId="0">
      <text>
        <r>
          <rPr>
            <sz val="10"/>
            <color rgb="FF000000"/>
            <rFont val="Calibri"/>
            <family val="2"/>
            <scheme val="minor"/>
          </rPr>
          <t>Used conversion ratio from additional calculations
Heller value for
"Grape, raisin": "dry weight of raisin"
=15.125</t>
        </r>
      </text>
    </comment>
    <comment ref="N116" authorId="0">
      <text>
        <r>
          <rPr>
            <sz val="10"/>
            <color rgb="FF000000"/>
            <rFont val="Calibri"/>
            <family val="2"/>
            <scheme val="minor"/>
          </rPr>
          <t>Used conversion ratio from additional calculations
Heller value for 
"Pear, dried": "weight of dried pulp, with or without peel" 
=4.607</t>
        </r>
      </text>
    </comment>
    <comment ref="N117" authorId="0">
      <text>
        <r>
          <rPr>
            <sz val="10"/>
            <color rgb="FF000000"/>
            <rFont val="Calibri"/>
            <family val="2"/>
            <scheme val="minor"/>
          </rPr>
          <t>Used conversion ratio from additional calculations
Heller value for
"Plum, prune, dried": "weight of dried flesh, with or without peel; excluding pit"
=29.097</t>
        </r>
      </text>
    </comment>
    <comment ref="N118" authorId="0">
      <text>
        <r>
          <rPr>
            <sz val="10"/>
            <color rgb="FF000000"/>
            <rFont val="Calibri"/>
            <family val="2"/>
            <scheme val="minor"/>
          </rPr>
          <t>Used conversion ratio from additional calculations
Heller value for
"Barley, pearled barley": "dry weight of barley"
=1.374</t>
        </r>
      </text>
    </comment>
    <comment ref="N119" authorId="0">
      <text>
        <r>
          <rPr>
            <sz val="10"/>
            <color rgb="FF000000"/>
            <rFont val="Calibri"/>
            <family val="2"/>
            <scheme val="minor"/>
          </rPr>
          <t>Used conversion ratio from additional calculations
Heller value for
"Barley, pearled barley": "dry weight of barley"
=1.374</t>
        </r>
      </text>
    </comment>
    <comment ref="N120" authorId="0">
      <text>
        <r>
          <rPr>
            <sz val="10"/>
            <color rgb="FF000000"/>
            <rFont val="Calibri"/>
            <family val="2"/>
            <scheme val="minor"/>
          </rPr>
          <t>Used conversion ratio from additional calculations
Derived from Heller value for
"Rice, brown" = 1.943</t>
        </r>
      </text>
    </comment>
    <comment ref="N122" authorId="0">
      <text>
        <r>
          <rPr>
            <sz val="10"/>
            <color rgb="FF000000"/>
            <rFont val="Calibri"/>
            <family val="2"/>
            <scheme val="minor"/>
          </rPr>
          <t>Used conversion ratio from additional calculations
Heller value for
"Corn, field, flour	dry weight of whole grain flour; masa harina"
=.253
But HSPH definition of "Corn flour" is "Corn flour is only endosperm (83% of corn)"</t>
        </r>
      </text>
    </comment>
    <comment ref="N123" authorId="0">
      <text>
        <r>
          <rPr>
            <sz val="10"/>
            <color rgb="FF000000"/>
            <rFont val="Calibri"/>
            <family val="2"/>
            <scheme val="minor"/>
          </rPr>
          <t>Used conversion ratio from additional calculations
Heller value for
"Corn, field, starch; dry weight of corn starch"
=.253</t>
        </r>
      </text>
    </comment>
    <comment ref="N124" authorId="0">
      <text>
        <r>
          <rPr>
            <sz val="10"/>
            <color rgb="FF000000"/>
            <rFont val="Calibri"/>
            <family val="2"/>
            <scheme val="minor"/>
          </rPr>
          <t>Used conversion ratio from additional calculations
Derived from Heller value for
"Rice, brown" = 1.943</t>
        </r>
      </text>
    </comment>
    <comment ref="N125" authorId="0">
      <text>
        <r>
          <rPr>
            <sz val="10"/>
            <color rgb="FF000000"/>
            <rFont val="Calibri"/>
            <family val="2"/>
            <scheme val="minor"/>
          </rPr>
          <t>Used conversion ratio from additional calculations
Heller value for
"Rice, white" equals that of 
"Rice, brown" = 1.943</t>
        </r>
      </text>
    </comment>
    <comment ref="N126" authorId="0">
      <text>
        <r>
          <rPr>
            <sz val="10"/>
            <color rgb="FF000000"/>
            <rFont val="Calibri"/>
            <family val="2"/>
            <scheme val="minor"/>
          </rPr>
          <t>Used conversion ratio from additional calculations
Heller value for
"Rice, white" equals that of 
"Rice, brown" = 1.943</t>
        </r>
      </text>
    </comment>
    <comment ref="N127" authorId="0">
      <text>
        <r>
          <rPr>
            <sz val="10"/>
            <color rgb="FF000000"/>
            <rFont val="Calibri"/>
            <family val="2"/>
            <scheme val="minor"/>
          </rPr>
          <t>Used conversion ratio from additional calculations
Derived from Heller value for
Wheat, grain" = .726</t>
        </r>
      </text>
    </comment>
    <comment ref="L131" authorId="0">
      <text>
        <r>
          <rPr>
            <sz val="10"/>
            <color rgb="FF000000"/>
            <rFont val="Calibri"/>
            <family val="2"/>
            <scheme val="minor"/>
          </rPr>
          <t>"Barley, pearled barley"..."dry weight of barley"</t>
        </r>
      </text>
    </comment>
    <comment ref="N132" authorId="0">
      <text>
        <r>
          <rPr>
            <sz val="10"/>
            <color rgb="FF000000"/>
            <rFont val="Calibri"/>
            <family val="2"/>
            <scheme val="minor"/>
          </rPr>
          <t>Used conversion ratio from additional calculations
Derived from Heller value for
"Oat, groats/rolled oats" = .409</t>
        </r>
      </text>
    </comment>
    <comment ref="N133" authorId="0">
      <text>
        <r>
          <rPr>
            <sz val="10"/>
            <color rgb="FF000000"/>
            <rFont val="Calibri"/>
            <family val="2"/>
            <scheme val="minor"/>
          </rPr>
          <t>Used conversion ratio from additional calculations
Derived from Heller value for
"Rice, brown" = 1.943</t>
        </r>
      </text>
    </comment>
    <comment ref="N135" authorId="0">
      <text>
        <r>
          <rPr>
            <sz val="10"/>
            <color rgb="FF000000"/>
            <rFont val="Calibri"/>
            <family val="2"/>
            <scheme val="minor"/>
          </rPr>
          <t>Used conversion ratio from additional calculations
Heller value for
"Corn, field, bran	dry weight of bran"
=.253</t>
        </r>
      </text>
    </comment>
    <comment ref="N138" authorId="0">
      <text>
        <r>
          <rPr>
            <sz val="10"/>
            <color rgb="FF000000"/>
            <rFont val="Calibri"/>
            <family val="2"/>
            <scheme val="minor"/>
          </rPr>
          <t>Used conversion ratio from additional calculations
Heller value for
"Corn, field, meal	dry weight of whole grain or degermed meal; dry weight of corn ingredient from corn or cornmeal based chips or snacks; dry weight of hominy"
=.253</t>
        </r>
      </text>
    </comment>
    <comment ref="E139" authorId="0">
      <text>
        <r>
          <rPr>
            <sz val="10"/>
            <color rgb="FF000000"/>
            <rFont val="Calibri"/>
            <family val="2"/>
            <scheme val="minor"/>
          </rPr>
          <t>Gidon Correspondence: no flax LCAs - agricultural similarity to wheat, so substituted values</t>
        </r>
      </text>
    </comment>
    <comment ref="N140" authorId="0">
      <text>
        <r>
          <rPr>
            <sz val="10"/>
            <color rgb="FF000000"/>
            <rFont val="Calibri"/>
            <family val="2"/>
            <scheme val="minor"/>
          </rPr>
          <t>"Oat, groats/rolled oats"</t>
        </r>
      </text>
    </comment>
    <comment ref="N141" authorId="0">
      <text>
        <r>
          <rPr>
            <sz val="10"/>
            <color rgb="FF000000"/>
            <rFont val="Calibri"/>
            <family val="2"/>
            <scheme val="minor"/>
          </rPr>
          <t>Used conversion ratio from additional calculations
Heller value for
"Oat, bran" equals that of 
"Oat, groats/rolled oats" = .409</t>
        </r>
      </text>
    </comment>
    <comment ref="N142" authorId="0">
      <text>
        <r>
          <rPr>
            <sz val="10"/>
            <color rgb="FF000000"/>
            <rFont val="Calibri"/>
            <family val="2"/>
            <scheme val="minor"/>
          </rPr>
          <t>Used conversion ratio from additional calculations
Derived from Heller value for
"Oat, groats/rolled oats" = .409</t>
        </r>
      </text>
    </comment>
    <comment ref="N143" authorId="0">
      <text>
        <r>
          <rPr>
            <sz val="10"/>
            <color rgb="FF000000"/>
            <rFont val="Calibri"/>
            <family val="2"/>
            <scheme val="minor"/>
          </rPr>
          <t>Used conversion ratio from additional calculations
Heller value for
"Rice, bran" equals that of 
"Rice, brown" = 1.943</t>
        </r>
      </text>
    </comment>
    <comment ref="N147" authorId="0">
      <text>
        <r>
          <rPr>
            <sz val="10"/>
            <color rgb="FF000000"/>
            <rFont val="Calibri"/>
            <family val="2"/>
            <scheme val="minor"/>
          </rPr>
          <t>Used conversion ratio from additional calculations
Heller value for
"Wheat, bran" equals that of 
"Wheat, grain"  = .726</t>
        </r>
      </text>
    </comment>
    <comment ref="N148" authorId="0">
      <text>
        <r>
          <rPr>
            <sz val="10"/>
            <color rgb="FF000000"/>
            <rFont val="Calibri"/>
            <family val="2"/>
            <scheme val="minor"/>
          </rPr>
          <t>Additional Calculations: "same as whole wheat"</t>
        </r>
      </text>
    </comment>
    <comment ref="N149" authorId="0">
      <text>
        <r>
          <rPr>
            <sz val="10"/>
            <color rgb="FF000000"/>
            <rFont val="Calibri"/>
            <family val="2"/>
            <scheme val="minor"/>
          </rPr>
          <t>Used values for "Wheat, grain", based on Additional Calculations sheet</t>
        </r>
      </text>
    </comment>
    <comment ref="N150" authorId="0">
      <text>
        <r>
          <rPr>
            <sz val="10"/>
            <color rgb="FF000000"/>
            <rFont val="Calibri"/>
            <family val="2"/>
            <scheme val="minor"/>
          </rPr>
          <t>Used conversion ratio from additional calculations
Heller value for
"Wheat, germ" equals that of 
"Wheat, grain" = .726</t>
        </r>
      </text>
    </comment>
    <comment ref="N151" authorId="0">
      <text>
        <r>
          <rPr>
            <sz val="10"/>
            <color rgb="FF000000"/>
            <rFont val="Calibri"/>
            <family val="2"/>
            <scheme val="minor"/>
          </rPr>
          <t>Used conversion ratio from additional calculations
Heller value for
"Wheat, gluten" equals that of 
"Wheat, grain" = .726</t>
        </r>
      </text>
    </comment>
    <comment ref="N153" authorId="0">
      <text>
        <r>
          <rPr>
            <sz val="10"/>
            <color rgb="FF000000"/>
            <rFont val="Calibri"/>
            <family val="2"/>
            <scheme val="minor"/>
          </rPr>
          <t>Used conversion ratio from additional calculations
Heller value for
"Wheat, germ" equals that of 
"Wheat, grain" = .726</t>
        </r>
      </text>
    </comment>
    <comment ref="N154" authorId="0">
      <text>
        <r>
          <rPr>
            <sz val="10"/>
            <color rgb="FF000000"/>
            <rFont val="Calibri"/>
            <family val="2"/>
            <scheme val="minor"/>
          </rPr>
          <t>Used conversion ratio from additional calculations
Heller value for
"Wheat, gluten" equals that of 
"Wheat, grain" = .726</t>
        </r>
      </text>
    </comment>
    <comment ref="N156" authorId="0">
      <text>
        <r>
          <rPr>
            <sz val="10"/>
            <color rgb="FF000000"/>
            <rFont val="Calibri"/>
            <family val="2"/>
            <scheme val="minor"/>
          </rPr>
          <t>Used conversion ratio from additional calculations
Derived from Heller value for
"Bean, black, seed" ("dry weight of bean") = 3.166</t>
        </r>
      </text>
    </comment>
    <comment ref="B157" authorId="0">
      <text>
        <r>
          <rPr>
            <sz val="10"/>
            <color rgb="FF000000"/>
            <rFont val="Calibri"/>
            <family val="2"/>
            <scheme val="minor"/>
          </rPr>
          <t>NDB# 16033; Beans, kidney, red, mature seeds, cooked, boiled, without salt; BOILED, UNSALTED, RED KIDNEY BEANS</t>
        </r>
      </text>
    </comment>
    <comment ref="N157" authorId="0">
      <text>
        <r>
          <rPr>
            <sz val="10"/>
            <color rgb="FF000000"/>
            <rFont val="Calibri"/>
            <family val="2"/>
            <scheme val="minor"/>
          </rPr>
          <t>Used conversion ratio from additional calculations
Derived from Heller value for
"Bean, kidney, seed" ("dry weight of bean") = 3.166</t>
        </r>
      </text>
    </comment>
    <comment ref="Q157" authorId="0">
      <text>
        <r>
          <rPr>
            <sz val="10"/>
            <color rgb="FF000000"/>
            <rFont val="Calibri"/>
            <family val="2"/>
            <scheme val="minor"/>
          </rPr>
          <t>NDB# 16033; Beans, kidney, red, mature seeds, cooked, boiled, without salt; BOILED, UNSALTED, RED KIDNEY BEANS</t>
        </r>
      </text>
    </comment>
    <comment ref="N158" authorId="0">
      <text>
        <r>
          <rPr>
            <sz val="10"/>
            <color rgb="FF000000"/>
            <rFont val="Calibri"/>
            <family val="2"/>
            <scheme val="minor"/>
          </rPr>
          <t>Used conversion ratio from additional calculations
Derived from Heller value for
"Lentil, seed" ("dry weight of edible seed") = .956</t>
        </r>
      </text>
    </comment>
    <comment ref="B159" authorId="0">
      <text>
        <r>
          <rPr>
            <sz val="10"/>
            <color rgb="FF000000"/>
            <rFont val="Calibri"/>
            <family val="2"/>
            <scheme val="minor"/>
          </rPr>
          <t>NDB# 11032, BOILED, DRAINED, UNSALTED LIMA BEAN</t>
        </r>
      </text>
    </comment>
    <comment ref="N159" authorId="0">
      <text>
        <r>
          <rPr>
            <sz val="10"/>
            <color rgb="FF000000"/>
            <rFont val="Calibri"/>
            <family val="2"/>
            <scheme val="minor"/>
          </rPr>
          <t>Used conversion ratio from additional calculations
Derived from Heller value for
"Bean, lima, seed" ("dry weight of bean") = 3.166</t>
        </r>
      </text>
    </comment>
    <comment ref="Q159" authorId="0">
      <text>
        <r>
          <rPr>
            <sz val="10"/>
            <color rgb="FF000000"/>
            <rFont val="Calibri"/>
            <family val="2"/>
            <scheme val="minor"/>
          </rPr>
          <t>NDB# 11032, BOILED, DRAINED, UNSALTED LIMA BEAN</t>
        </r>
      </text>
    </comment>
    <comment ref="B160" authorId="0">
      <text>
        <r>
          <rPr>
            <sz val="10"/>
            <color rgb="FF000000"/>
            <rFont val="Calibri"/>
            <family val="2"/>
            <scheme val="minor"/>
          </rPr>
          <t>NDB# 16039 ; Beans, navy, mature seeds, canned; CANNED NAVY BEANS</t>
        </r>
      </text>
    </comment>
    <comment ref="N160" authorId="0">
      <text>
        <r>
          <rPr>
            <sz val="10"/>
            <color rgb="FF000000"/>
            <rFont val="Calibri"/>
            <family val="2"/>
            <scheme val="minor"/>
          </rPr>
          <t>Used conversion ratio from additional calculations
Derived from Heller value for
"Bean, navy, seed" ("dry weight of bean") = 3.166</t>
        </r>
      </text>
    </comment>
    <comment ref="Q160" authorId="0">
      <text>
        <r>
          <rPr>
            <sz val="10"/>
            <color rgb="FF000000"/>
            <rFont val="Calibri"/>
            <family val="2"/>
            <scheme val="minor"/>
          </rPr>
          <t>NDB# 16039 ; Beans, navy, mature seeds, canned; CANNED NAVY BEANS</t>
        </r>
      </text>
    </comment>
    <comment ref="L163" authorId="0">
      <text>
        <r>
          <rPr>
            <sz val="10"/>
            <color rgb="FF000000"/>
            <rFont val="Calibri"/>
            <family val="2"/>
            <scheme val="minor"/>
          </rPr>
          <t>Pea, succulent</t>
        </r>
      </text>
    </comment>
    <comment ref="N163" authorId="0">
      <text>
        <r>
          <rPr>
            <sz val="10"/>
            <color rgb="FF000000"/>
            <rFont val="Calibri"/>
            <family val="2"/>
            <scheme val="minor"/>
          </rPr>
          <t>Used conversion ratio from additional calculations
Derived from Heller value for
"Pea, succulent" ("weight of peas") = .135</t>
        </r>
      </text>
    </comment>
    <comment ref="N164" authorId="0">
      <text>
        <r>
          <rPr>
            <sz val="10"/>
            <color rgb="FF000000"/>
            <rFont val="Calibri"/>
            <family val="2"/>
            <scheme val="minor"/>
          </rPr>
          <t>Used conversion ratio from additional calculations
Derived from Heller value for
"Soybean, seed" ("dry weight of seed or bean") = .5</t>
        </r>
      </text>
    </comment>
    <comment ref="N165" authorId="0">
      <text>
        <r>
          <rPr>
            <sz val="10"/>
            <color rgb="FF000000"/>
            <rFont val="Calibri"/>
            <family val="2"/>
            <scheme val="minor"/>
          </rPr>
          <t>Used conversion ratio from additional calculations
Derived from Heller value for
"Soybean, seed" ("dry weight of seed or bean") = .5</t>
        </r>
      </text>
    </comment>
    <comment ref="N166" authorId="0">
      <text>
        <r>
          <rPr>
            <sz val="10"/>
            <color rgb="FF000000"/>
            <rFont val="Calibri"/>
            <family val="2"/>
            <scheme val="minor"/>
          </rPr>
          <t>Used conversion ratio from additional calculations
Derived from Heller value for
"Soybean, seed" ("dry weight of seed or bean") = .5</t>
        </r>
      </text>
    </comment>
    <comment ref="N167" authorId="0">
      <text>
        <r>
          <rPr>
            <sz val="10"/>
            <color rgb="FF000000"/>
            <rFont val="Calibri"/>
            <family val="2"/>
            <scheme val="minor"/>
          </rPr>
          <t>Used conversion ratio from additional calculations
Derived from Heller value for
"Soybean, seed" ("dry weight of seed or bean") = .5</t>
        </r>
      </text>
    </comment>
    <comment ref="L175" authorId="0">
      <text>
        <r>
          <rPr>
            <sz val="10"/>
            <color rgb="FF000000"/>
            <rFont val="Calibri"/>
            <family val="2"/>
            <scheme val="minor"/>
          </rPr>
          <t>Coconut meat: 5019 ("weight of meat; excluding milk and shell")
Coconut, dried: 4784 (dry weight of meat; excluding milk and shell)
Coconut, milk: 2614 (weight of milk only; excluding meat and shell)
Coconut, oil: 5019 ("weight of oil")</t>
        </r>
      </text>
    </comment>
    <comment ref="N175" authorId="0">
      <text>
        <r>
          <rPr>
            <sz val="10"/>
            <color rgb="FF000000"/>
            <rFont val="Calibri"/>
            <family val="2"/>
            <scheme val="minor"/>
          </rPr>
          <t>No alternative conversion ratio in Additional Calculations sheet</t>
        </r>
      </text>
    </comment>
    <comment ref="N176" authorId="0">
      <text>
        <r>
          <rPr>
            <sz val="10"/>
            <color rgb="FF000000"/>
            <rFont val="Calibri"/>
            <family val="2"/>
            <scheme val="minor"/>
          </rPr>
          <t>Used conversion ratio from additional calculations
Heller value for
"Corn, field, starch; dry weight of corn starch"
=.253</t>
        </r>
      </text>
    </comment>
    <comment ref="L177" authorId="0">
      <text>
        <r>
          <rPr>
            <sz val="10"/>
            <color rgb="FF000000"/>
            <rFont val="Calibri"/>
            <family val="2"/>
            <scheme val="minor"/>
          </rPr>
          <t xml:space="preserve">Cottonseed oil is the only cottonseed product
</t>
        </r>
      </text>
    </comment>
    <comment ref="N177" authorId="0">
      <text>
        <r>
          <rPr>
            <sz val="10"/>
            <color rgb="FF000000"/>
            <rFont val="Calibri"/>
            <family val="2"/>
            <scheme val="minor"/>
          </rPr>
          <t>No alternative conversion ratio in Additional Calculations sheet</t>
        </r>
      </text>
    </comment>
    <comment ref="L178" authorId="0">
      <text>
        <r>
          <rPr>
            <sz val="10"/>
            <color rgb="FF000000"/>
            <rFont val="Calibri"/>
            <family val="2"/>
            <scheme val="minor"/>
          </rPr>
          <t>Olive: 9385 ("weight of fruit, excluding pit")</t>
        </r>
      </text>
    </comment>
    <comment ref="N178" authorId="0">
      <text>
        <r>
          <rPr>
            <sz val="10"/>
            <color rgb="FF000000"/>
            <rFont val="Calibri"/>
            <family val="2"/>
            <scheme val="minor"/>
          </rPr>
          <t>Used conversion ratio from additional calculations
Heller WSF value for:
"Olive"; "weight of fruit, excluding pit"
= 9.385</t>
        </r>
      </text>
    </comment>
    <comment ref="N179" authorId="0">
      <text>
        <r>
          <rPr>
            <sz val="10"/>
            <color rgb="FF000000"/>
            <rFont val="Calibri"/>
            <family val="2"/>
            <scheme val="minor"/>
          </rPr>
          <t>Used conversion ratio from additional calculations
Derived from Heller WSF value for:
"Peanut oil; weight of oil"
= "Peanut, weight of nutmeat; excluding shell" and "Peanut, butter; weight of ground peanuts; excluding shell" 
= .518</t>
        </r>
      </text>
    </comment>
    <comment ref="L181" authorId="0">
      <text>
        <r>
          <rPr>
            <sz val="10"/>
            <color rgb="FF000000"/>
            <rFont val="Calibri"/>
            <family val="2"/>
            <scheme val="minor"/>
          </rPr>
          <t>same as sunflower seed</t>
        </r>
      </text>
    </comment>
    <comment ref="N181" authorId="0">
      <text>
        <r>
          <rPr>
            <sz val="10"/>
            <color rgb="FF000000"/>
            <rFont val="Calibri"/>
            <family val="2"/>
            <scheme val="minor"/>
          </rPr>
          <t>Used conversion ratio from additional calculations
derived from Heller WSF value for
"Sunflower, seed" ("dry weight of seeds"), which is the same as "Sunflower, oil" (weight of oil)
=1.263</t>
        </r>
      </text>
    </comment>
    <comment ref="N188" authorId="0">
      <text>
        <r>
          <rPr>
            <sz val="10"/>
            <color rgb="FF000000"/>
            <rFont val="Calibri"/>
            <family val="2"/>
            <scheme val="minor"/>
          </rPr>
          <t>Used conversion ratio from additional calculations
derived from Heller WSF value for
"Soybean, seed" ("dry weight of seed or bean") 
=.5</t>
        </r>
      </text>
    </comment>
    <comment ref="N189" authorId="0">
      <text>
        <r>
          <rPr>
            <sz val="10"/>
            <color rgb="FF000000"/>
            <rFont val="Calibri"/>
            <family val="2"/>
            <scheme val="minor"/>
          </rPr>
          <t>Used conversion ratio from additional calculations
derived from Heller WSF value for
"Soybean, seed" ("dry weight of seed or bean") 
=.5</t>
        </r>
      </text>
    </comment>
    <comment ref="N190" authorId="0">
      <text>
        <r>
          <rPr>
            <sz val="10"/>
            <color rgb="FF000000"/>
            <rFont val="Calibri"/>
            <family val="2"/>
            <scheme val="minor"/>
          </rPr>
          <t>Used conversion ratio from additional calculations
derived from Heller WSF value for
"Soybean, seed" ("dry weight of seed or bean") 
=.5</t>
        </r>
      </text>
    </comment>
    <comment ref="N191" authorId="0">
      <text>
        <r>
          <rPr>
            <sz val="10"/>
            <color rgb="FF000000"/>
            <rFont val="Calibri"/>
            <family val="2"/>
            <scheme val="minor"/>
          </rPr>
          <t>Used conversion ratio from additional calculations
derived from Heller WSF value for
"Soybean, seed" ("dry weight of seed or bean") 
=.5</t>
        </r>
      </text>
    </comment>
    <comment ref="N192" authorId="0">
      <text>
        <r>
          <rPr>
            <sz val="10"/>
            <color rgb="FF000000"/>
            <rFont val="Calibri"/>
            <family val="2"/>
            <scheme val="minor"/>
          </rPr>
          <t>Used conversion ratio from additional calculations
derived from Heller WSF value for
"Soybean, seed" ("dry weight of seed or bean") 
=.5</t>
        </r>
      </text>
    </comment>
    <comment ref="L196" authorId="0">
      <text>
        <r>
          <rPr>
            <sz val="10"/>
            <color rgb="FF000000"/>
            <rFont val="Calibri"/>
            <family val="2"/>
            <scheme val="minor"/>
          </rPr>
          <t>"Guar seeds"
"Basis as defined": "wight of bean"</t>
        </r>
      </text>
    </comment>
    <comment ref="N196" authorId="0">
      <text>
        <r>
          <rPr>
            <sz val="10"/>
            <color rgb="FF000000"/>
            <rFont val="Calibri"/>
            <family val="2"/>
            <scheme val="minor"/>
          </rPr>
          <t>Used conversion ratio from additional calculations
Heller value for
"Guar, seed": "weight of bean"
=.956
Guar gum is 24.8% of seed/bean</t>
        </r>
      </text>
    </comment>
    <comment ref="L198" authorId="0">
      <text>
        <r>
          <rPr>
            <sz val="10"/>
            <color rgb="FF000000"/>
            <rFont val="Calibri"/>
            <family val="2"/>
            <scheme val="minor"/>
          </rPr>
          <t>"Psyllium seeds"
"Basis as defined": "dry weight of psyllium husks"</t>
        </r>
      </text>
    </comment>
    <comment ref="N204" authorId="0">
      <text>
        <r>
          <rPr>
            <sz val="10"/>
            <color rgb="FF000000"/>
            <rFont val="Calibri"/>
            <family val="2"/>
            <scheme val="minor"/>
          </rPr>
          <t>Used conversion ratio from additional calculations
Heller value for
"Vinegar": "Weight of vinegar made from apple, grape or rice juice in recipe"
=0
HSPH value considers white distilled vinegar made from corn
Guar gum is 24.8% of seed/bean</t>
        </r>
      </text>
    </comment>
    <comment ref="N207" authorId="0">
      <text>
        <r>
          <rPr>
            <sz val="10"/>
            <color rgb="FF000000"/>
            <rFont val="Calibri"/>
            <family val="2"/>
            <scheme val="minor"/>
          </rPr>
          <t>Used conversion ratio from additional calculations
derived from Heller WSF value for
"Chicken, meat" ("weight of flesh; excluding the weight of bone, total nutrient fat, and skin")
=1.881</t>
        </r>
      </text>
    </comment>
    <comment ref="N212" authorId="0">
      <text>
        <r>
          <rPr>
            <sz val="10"/>
            <color rgb="FF000000"/>
            <rFont val="Calibri"/>
            <family val="2"/>
            <scheme val="minor"/>
          </rPr>
          <t>Used conversion ratio from additional calculations
derived from Heller WSF value for
"Pork, meat" ("weight of meat; excluding weight of bone, and all nutrient fat and skin")
=1.876</t>
        </r>
      </text>
    </comment>
    <comment ref="N213" authorId="0">
      <text>
        <r>
          <rPr>
            <sz val="10"/>
            <color rgb="FF000000"/>
            <rFont val="Calibri"/>
            <family val="2"/>
            <scheme val="minor"/>
          </rPr>
          <t xml:space="preserve">Used conversion ratio from additional calculations
derived from Heller WSF value for
Heller's WSF values for:
"Beef, meat; weight of meat; excluding the weight of bone, and all nutrient fat"
= 9.685
AND
"Pork, meat" ("weight of meat; excluding weight of bone, and all nutrient fat and skin")
=1.876
</t>
        </r>
      </text>
    </comment>
    <comment ref="N214" authorId="0">
      <text>
        <r>
          <rPr>
            <sz val="10"/>
            <color rgb="FF000000"/>
            <rFont val="Calibri"/>
            <family val="2"/>
            <scheme val="minor"/>
          </rPr>
          <t xml:space="preserve">Used conversion ratio from additional calculations
derived from Heller WSF value for
Heller's WSF values for:
"Beef, meat; weight of meat; excluding the weight of bone, and all nutrient fat"
= 9.685
AND
"Pork, meat" ("weight of meat; excluding weight of bone, and all nutrient fat and skin")
=1.876
</t>
        </r>
      </text>
    </comment>
    <comment ref="G215" authorId="0">
      <text>
        <r>
          <rPr>
            <sz val="10"/>
            <color rgb="FF000000"/>
            <rFont val="Calibri"/>
            <family val="2"/>
            <scheme val="minor"/>
          </rPr>
          <t>Email with Gidon (see Gidon Correspondence):
LU: 147m^2/yMcal
Nr: 176gNr/Mcal
H2O: 1.6 m^3/Mcal
GHG: 10 kgCO2eq/Mcal
Figures used national calories eaten/population retail disappearance weight. This given 3.35 Mcal/(eaten kg) = 3350 kcal/(eaten kg) = 335 kcal/(eaten 100 g)...http://nutritiondata.self.com/facts/beef-products/3460/2 tells us that fr an individual burger, it is 296/(100 g). But we need to produce more than 100 g to get to EAT 100 g. We also need to produce more to account for water mass loss during cooking. So the added 39 kcals (order 10%) seems reasonable. If the rest of the items are per farm gate, then I'd say let's use 300 kcal/100 g beef.</t>
        </r>
      </text>
    </comment>
    <comment ref="N215" authorId="0">
      <text>
        <r>
          <rPr>
            <sz val="10"/>
            <color rgb="FF000000"/>
            <rFont val="Calibri"/>
            <family val="2"/>
            <scheme val="minor"/>
          </rPr>
          <t>Used conversion ratio from additional calculations
derived from Heller WSF value for
Heller's WSF values for:
"Beef, meat; weight of meat; excluding the weight of bone, and all nutrient fat"
= 9.685</t>
        </r>
      </text>
    </comment>
    <comment ref="N216" authorId="0">
      <text>
        <r>
          <rPr>
            <sz val="10"/>
            <color rgb="FF000000"/>
            <rFont val="Calibri"/>
            <family val="2"/>
            <scheme val="minor"/>
          </rPr>
          <t>Used conversion ratio from additional calculations
derived from Heller WSF value for
Heller's WSF values for:
"Beef, meat; weight of meat; excluding the weight of bone, and all nutrient fat"
= 9.685</t>
        </r>
      </text>
    </comment>
    <comment ref="N217" authorId="0">
      <text>
        <r>
          <rPr>
            <sz val="10"/>
            <color rgb="FF000000"/>
            <rFont val="Calibri"/>
            <family val="2"/>
            <scheme val="minor"/>
          </rPr>
          <t>Used conversion ratio from additional calculations
derived from Heller WSF value for
Heller's WSF values for:
"Beef, meat; weight of meat; excluding the weight of bone, and all nutrient fat"
= 9.685</t>
        </r>
      </text>
    </comment>
    <comment ref="G218" authorId="0">
      <text>
        <r>
          <rPr>
            <sz val="10"/>
            <color rgb="FF000000"/>
            <rFont val="Calibri"/>
            <family val="2"/>
            <scheme val="minor"/>
          </rPr>
          <t>Email with Gidon (see Gidon Correspondence):
LU: 147m^2/yMcal
Nr: 176gNr/Mcal
H2O: 1.6 m^3/Mcal
GHG: 10 kgCO2eq/Mcal
Figures used national calories eaten/population retail disappearance weight. This given 3.35 Mcal/(eaten kg) = 3350 kcal/(eaten kg) = 335 kcal/(eaten 100 g)...http://nutritiondata.self.com/facts/beef-products/3460/2 tells us that fr an individual burger, it is 296/(100 g). But we need to produce more than 100 g to get to EAT 100 g. We also need to produce more to account for water mass loss during cooking. So the added 39 kcals (order 10%) seems reasonable. If the rest of the items are per farm gate, then I'd say let's use 300 kcal/100 g beef.</t>
        </r>
      </text>
    </comment>
    <comment ref="N218" authorId="0">
      <text>
        <r>
          <rPr>
            <sz val="10"/>
            <color rgb="FF000000"/>
            <rFont val="Calibri"/>
            <family val="2"/>
            <scheme val="minor"/>
          </rPr>
          <t>Used conversion ratio from additional calculations
derived from Heller WSF value for
Heller's WSF values for:
"Beef, meat; weight of meat; excluding the weight of bone, and all nutrient fat"
= 9.685</t>
        </r>
      </text>
    </comment>
    <comment ref="G219" authorId="0">
      <text>
        <r>
          <rPr>
            <sz val="10"/>
            <color rgb="FF000000"/>
            <rFont val="Calibri"/>
            <family val="2"/>
            <scheme val="minor"/>
          </rPr>
          <t>Email with Gidon (see Gidon Correspondence):
LU: 147m^2/yMcal
Nr: 176gNr/Mcal
H2O: 1.6 m^3/Mcal
GHG: 10 kgCO2eq/Mcal
Figures used national calories eaten/population retail disappearance weight. This given 3.35 Mcal/(eaten kg) = 3350 kcal/(eaten kg) = 335 kcal/(eaten 100 g)...http://nutritiondata.self.com/facts/beef-products/3460/2 tells us that fr an individual burger, it is 296/(100 g). But we need to produce more than 100 g to get to EAT 100 g. We also need to produce more to account for water mass loss during cooking. So the added 39 kcals (order 10%) seems reasonable. If the rest of the items are per farm gate, then I'd say let's use 300 kcal/100 g beef.</t>
        </r>
      </text>
    </comment>
    <comment ref="N219" authorId="0">
      <text>
        <r>
          <rPr>
            <sz val="10"/>
            <color rgb="FF000000"/>
            <rFont val="Calibri"/>
            <family val="2"/>
            <scheme val="minor"/>
          </rPr>
          <t>Heller's WSF value for:
"Beef, meat; weight of meat; excluding the weight of bone, and all nutrient fat"
= 9.685</t>
        </r>
      </text>
    </comment>
    <comment ref="B220" authorId="0">
      <text>
        <r>
          <rPr>
            <sz val="10"/>
            <color rgb="FF000000"/>
            <rFont val="Calibri"/>
            <family val="2"/>
            <scheme val="minor"/>
          </rPr>
          <t>DIEM AME</t>
        </r>
      </text>
    </comment>
    <comment ref="Q220" authorId="0">
      <text>
        <r>
          <rPr>
            <sz val="10"/>
            <color rgb="FF000000"/>
            <rFont val="Calibri"/>
            <family val="2"/>
          </rPr>
          <t>DIEM AME</t>
        </r>
      </text>
    </comment>
    <comment ref="B221" authorId="0">
      <text>
        <r>
          <rPr>
            <sz val="10"/>
            <color rgb="FF000000"/>
            <rFont val="Calibri"/>
            <family val="2"/>
          </rPr>
          <t>DIEM AME</t>
        </r>
      </text>
    </comment>
    <comment ref="Q221" authorId="0">
      <text>
        <r>
          <rPr>
            <sz val="10"/>
            <color rgb="FF000000"/>
            <rFont val="Calibri"/>
            <family val="2"/>
            <scheme val="minor"/>
          </rPr>
          <t>DIEM AME</t>
        </r>
      </text>
    </comment>
    <comment ref="B222" authorId="0">
      <text>
        <r>
          <rPr>
            <sz val="10"/>
            <color rgb="FF000000"/>
            <rFont val="Calibri"/>
            <family val="2"/>
            <scheme val="minor"/>
          </rPr>
          <t>DIEM AME</t>
        </r>
      </text>
    </comment>
    <comment ref="Q222" authorId="0">
      <text>
        <r>
          <rPr>
            <sz val="10"/>
            <color rgb="FF000000"/>
            <rFont val="Calibri"/>
            <family val="2"/>
            <scheme val="minor"/>
          </rPr>
          <t>DIEM AME</t>
        </r>
      </text>
    </comment>
    <comment ref="B223" authorId="0">
      <text>
        <r>
          <rPr>
            <sz val="10"/>
            <color rgb="FF000000"/>
            <rFont val="Calibri"/>
            <family val="2"/>
            <scheme val="minor"/>
          </rPr>
          <t>DIEM AME</t>
        </r>
      </text>
    </comment>
    <comment ref="Q223" authorId="0">
      <text>
        <r>
          <rPr>
            <sz val="10"/>
            <color rgb="FF000000"/>
            <rFont val="Calibri"/>
            <family val="2"/>
            <scheme val="minor"/>
          </rPr>
          <t>DIEM AME</t>
        </r>
      </text>
    </comment>
    <comment ref="B224" authorId="0">
      <text>
        <r>
          <rPr>
            <sz val="10"/>
            <color rgb="FF000000"/>
            <rFont val="Calibri"/>
            <family val="2"/>
            <scheme val="minor"/>
          </rPr>
          <t>DIEM AME.ing</t>
        </r>
      </text>
    </comment>
    <comment ref="Q224" authorId="0">
      <text>
        <r>
          <rPr>
            <sz val="10"/>
            <color rgb="FF000000"/>
            <rFont val="Calibri"/>
            <family val="2"/>
            <scheme val="minor"/>
          </rPr>
          <t>DIEM AME.ing</t>
        </r>
      </text>
    </comment>
    <comment ref="B225" authorId="0">
      <text>
        <r>
          <rPr>
            <sz val="10"/>
            <color rgb="FF000000"/>
            <rFont val="Calibri"/>
            <family val="2"/>
            <scheme val="minor"/>
          </rPr>
          <t>DIEM AME.ing</t>
        </r>
      </text>
    </comment>
    <comment ref="Q225" authorId="0">
      <text>
        <r>
          <rPr>
            <sz val="10"/>
            <color rgb="FF000000"/>
            <rFont val="Calibri"/>
            <family val="2"/>
            <scheme val="minor"/>
          </rPr>
          <t>DIEM AME.ing</t>
        </r>
      </text>
    </comment>
    <comment ref="B226" authorId="0">
      <text>
        <r>
          <rPr>
            <sz val="10"/>
            <color rgb="FF000000"/>
            <rFont val="Calibri"/>
            <family val="2"/>
            <scheme val="minor"/>
          </rPr>
          <t>DIEM AME.ing</t>
        </r>
      </text>
    </comment>
    <comment ref="Q226" authorId="0">
      <text>
        <r>
          <rPr>
            <sz val="10"/>
            <color rgb="FF000000"/>
            <rFont val="Calibri"/>
            <family val="2"/>
            <scheme val="minor"/>
          </rPr>
          <t>DIEM AME.ing</t>
        </r>
      </text>
    </comment>
    <comment ref="N227" authorId="0">
      <text>
        <r>
          <rPr>
            <sz val="10"/>
            <color rgb="FF000000"/>
            <rFont val="Calibri"/>
            <family val="2"/>
            <scheme val="minor"/>
          </rPr>
          <t>Used conversion ratio from additional calculations
derived from Heller WSF value for
"Pork, meat" ("weight of meat; excluding weight of bone, and all nutrient fat and skin")
=1.876</t>
        </r>
      </text>
    </comment>
    <comment ref="N231" authorId="0">
      <text>
        <r>
          <rPr>
            <sz val="10"/>
            <color rgb="FF000000"/>
            <rFont val="Calibri"/>
            <family val="2"/>
            <scheme val="minor"/>
          </rPr>
          <t>Heller WSF value for
"Cocoa bean, chocolate" ("weight of chocolate; cocoa butter")
=7.325</t>
        </r>
      </text>
    </comment>
    <comment ref="N232" authorId="0">
      <text>
        <r>
          <rPr>
            <sz val="10"/>
            <color rgb="FF000000"/>
            <rFont val="Calibri"/>
            <family val="2"/>
            <scheme val="minor"/>
          </rPr>
          <t>Heller WSF value for
"Cocoa bean, chocolate" ("weight of chocolate; cocoa butter")
=7.325</t>
        </r>
      </text>
    </comment>
    <comment ref="N233" authorId="0">
      <text>
        <r>
          <rPr>
            <sz val="10"/>
            <color rgb="FF000000"/>
            <rFont val="Calibri"/>
            <family val="2"/>
            <scheme val="minor"/>
          </rPr>
          <t>Heller WSF value for
"Cocoa bean, chocolate" ("weight of chocolate; cocoa butter")
=7.325</t>
        </r>
      </text>
    </comment>
    <comment ref="N234" authorId="0">
      <text>
        <r>
          <rPr>
            <sz val="10"/>
            <color rgb="FF000000"/>
            <rFont val="Calibri"/>
            <family val="2"/>
            <scheme val="minor"/>
          </rPr>
          <t>Heller WSF value for
"Cocoa bean, chocolate" ("weight of chocolate; cocoa butter")
=7.325</t>
        </r>
      </text>
    </comment>
    <comment ref="N235" authorId="0">
      <text>
        <r>
          <rPr>
            <sz val="10"/>
            <color rgb="FF000000"/>
            <rFont val="Calibri"/>
            <family val="2"/>
            <scheme val="minor"/>
          </rPr>
          <t>Heller WSF value for
"Cocoa bean, chocolate" ("weight of chocolate; cocoa butter")
=7.325</t>
        </r>
      </text>
    </comment>
    <comment ref="N236" authorId="0">
      <text>
        <r>
          <rPr>
            <sz val="10"/>
            <color rgb="FF000000"/>
            <rFont val="Calibri"/>
            <family val="2"/>
            <scheme val="minor"/>
          </rPr>
          <t>Heller WSF value for
"Cocoa bean, chocolate" ("weight of chocolate; cocoa butter")
=7.325</t>
        </r>
      </text>
    </comment>
    <comment ref="N237" authorId="0">
      <text>
        <r>
          <rPr>
            <sz val="10"/>
            <color rgb="FF000000"/>
            <rFont val="Calibri"/>
            <family val="2"/>
            <scheme val="minor"/>
          </rPr>
          <t>Heller WSF value for
"Cocoa bean, chocolate" ("weight of chocolate; cocoa butter")
=7.325</t>
        </r>
      </text>
    </comment>
    <comment ref="N238" authorId="0">
      <text>
        <r>
          <rPr>
            <sz val="10"/>
            <color rgb="FF000000"/>
            <rFont val="Calibri"/>
            <family val="2"/>
            <scheme val="minor"/>
          </rPr>
          <t>Used conversion ratio from additional calculations
derived from Heller WSF value for:
Heller WSF value for
"Cocoa bean, chocolate" ("weight of chocolate; cocoa butter")
=7.325</t>
        </r>
      </text>
    </comment>
    <comment ref="N239" authorId="0">
      <text>
        <r>
          <rPr>
            <sz val="10"/>
            <color rgb="FF000000"/>
            <rFont val="Calibri"/>
            <family val="2"/>
            <scheme val="minor"/>
          </rPr>
          <t>Used conversion ratio from additional calculations
derived from Heller WSF value for:
Heller WSF value for
"Cocoa bean, chocolate" ("weight of chocolate; cocoa butter")
=7.325</t>
        </r>
      </text>
    </comment>
    <comment ref="N240" authorId="0">
      <text>
        <r>
          <rPr>
            <sz val="10"/>
            <color rgb="FF000000"/>
            <rFont val="Calibri"/>
            <family val="2"/>
            <scheme val="minor"/>
          </rPr>
          <t>Used conversion ratio from additional calculations
Heller value for
"Corn, field, syrup	weight of syrup"
=.253 (same as corn flour, bran, etc)</t>
        </r>
      </text>
    </comment>
    <comment ref="N241" authorId="0">
      <text>
        <r>
          <rPr>
            <sz val="10"/>
            <color rgb="FF000000"/>
            <rFont val="Calibri"/>
            <family val="2"/>
            <scheme val="minor"/>
          </rPr>
          <t>Used conversion ratio from additional calculations
Heller value for
"Corn, field, syrup	weight of syrup"
=.253 (same as corn flour, bran, etc)</t>
        </r>
      </text>
    </comment>
    <comment ref="N242" authorId="0">
      <text>
        <r>
          <rPr>
            <sz val="10"/>
            <color rgb="FF000000"/>
            <rFont val="Calibri"/>
            <family val="2"/>
            <scheme val="minor"/>
          </rPr>
          <t>Used conversion ratio from additional calculations
Heller value for
"Corn, field, syrup	weight of syrup"
=.253 (same as corn flour, bran, etc)</t>
        </r>
      </text>
    </comment>
    <comment ref="L244" authorId="0">
      <text>
        <r>
          <rPr>
            <sz val="10"/>
            <color rgb="FF000000"/>
            <rFont val="Calibri"/>
            <family val="2"/>
            <scheme val="minor"/>
          </rPr>
          <t xml:space="preserve">same as sugarcane
</t>
        </r>
      </text>
    </comment>
    <comment ref="N244" authorId="0">
      <text>
        <r>
          <rPr>
            <sz val="10"/>
            <color rgb="FF000000"/>
            <rFont val="Calibri"/>
            <family val="2"/>
            <scheme val="minor"/>
          </rPr>
          <t>Used conversion ratio from additional calculations
derived from Heller WSF value for:
"Sugarcane, sugar; dry weight of cane sugar (sucrose)"</t>
        </r>
      </text>
    </comment>
    <comment ref="L245" authorId="0">
      <text>
        <r>
          <rPr>
            <sz val="10"/>
            <color rgb="FF000000"/>
            <rFont val="Calibri"/>
            <family val="2"/>
            <scheme val="minor"/>
          </rPr>
          <t>"corn, pop"; "weight of kernels; excluding cob and husk"</t>
        </r>
      </text>
    </comment>
    <comment ref="N245" authorId="0">
      <text>
        <r>
          <rPr>
            <sz val="10"/>
            <color rgb="FF000000"/>
            <rFont val="Calibri"/>
            <family val="2"/>
            <scheme val="minor"/>
          </rPr>
          <t>Used conversion ratio from additional calculations
derived from Heller WSF value for
"Corn, field, flour; dry weight of whole grain flour; masa harina"
=.253
Heller WSF value for
"Corn, pop; weight of kernels; excluding cob and husk"
= 1.57</t>
        </r>
      </text>
    </comment>
    <comment ref="L248" authorId="0">
      <text>
        <r>
          <rPr>
            <sz val="10"/>
            <color rgb="FF000000"/>
            <rFont val="Calibri"/>
            <family val="2"/>
            <scheme val="minor"/>
          </rPr>
          <t>dry weight of cane sugar (sucrose)</t>
        </r>
      </text>
    </comment>
    <comment ref="N249" authorId="0">
      <text>
        <r>
          <rPr>
            <sz val="10"/>
            <color rgb="FF000000"/>
            <rFont val="Calibri"/>
            <family val="2"/>
            <scheme val="minor"/>
          </rPr>
          <t>Used conversion ratio from additional calculations
derived from Heller WSF value for:
"Sugarcane, sugar; dry weight of cane sugar (sucrose)"</t>
        </r>
      </text>
    </comment>
    <comment ref="L250" authorId="0">
      <text>
        <r>
          <rPr>
            <sz val="10"/>
            <color rgb="FF000000"/>
            <rFont val="Calibri"/>
            <family val="2"/>
            <scheme val="minor"/>
          </rPr>
          <t>dry weight of cane sugar (sucrose)</t>
        </r>
      </text>
    </comment>
    <comment ref="L251" authorId="0">
      <text>
        <r>
          <rPr>
            <sz val="10"/>
            <color rgb="FF000000"/>
            <rFont val="Calibri"/>
            <family val="2"/>
            <scheme val="minor"/>
          </rPr>
          <t>dry weight of cane sugar (sucrose)</t>
        </r>
      </text>
    </comment>
    <comment ref="L252" authorId="0">
      <text>
        <r>
          <rPr>
            <sz val="10"/>
            <color rgb="FF000000"/>
            <rFont val="Calibri"/>
            <family val="2"/>
            <scheme val="minor"/>
          </rPr>
          <t>Potato, tuber, w/peel	
weight of tuber;  including peel</t>
        </r>
      </text>
    </comment>
    <comment ref="N252" authorId="0">
      <text>
        <r>
          <rPr>
            <sz val="10"/>
            <color rgb="FF000000"/>
            <rFont val="Calibri"/>
            <family val="2"/>
            <scheme val="minor"/>
          </rPr>
          <t>Used conversion ratio from additional calculations
derived from Heller WSF value for:
"Potato, tuber, w/peel; weight of tuber;  including peel"
= .370</t>
        </r>
      </text>
    </comment>
    <comment ref="L253" authorId="0">
      <text>
        <r>
          <rPr>
            <sz val="10"/>
            <color rgb="FF000000"/>
            <rFont val="Calibri"/>
            <family val="2"/>
            <scheme val="minor"/>
          </rPr>
          <t>Potato, tuber, w/peel	
weight of tuber;  including peel</t>
        </r>
      </text>
    </comment>
    <comment ref="N253" authorId="0">
      <text>
        <r>
          <rPr>
            <sz val="10"/>
            <color rgb="FF000000"/>
            <rFont val="Calibri"/>
            <family val="2"/>
            <scheme val="minor"/>
          </rPr>
          <t>Used conversion ratio from additional calculations
derived from Heller WSF value for:
"Potato, tuber, w/peel; weight of tuber;  including peel"
= .370</t>
        </r>
      </text>
    </comment>
    <comment ref="L255" authorId="0">
      <text>
        <r>
          <rPr>
            <sz val="10"/>
            <color rgb="FF000000"/>
            <rFont val="Calibri"/>
            <family val="2"/>
            <scheme val="minor"/>
          </rPr>
          <t>"Broccoli" 
"weight of flower heads and adjoining stems"</t>
        </r>
      </text>
    </comment>
    <comment ref="L256" authorId="0">
      <text>
        <r>
          <rPr>
            <sz val="10"/>
            <color rgb="FF000000"/>
            <rFont val="Calibri"/>
            <family val="2"/>
            <scheme val="minor"/>
          </rPr>
          <t>"weight of leaf sprouts"</t>
        </r>
      </text>
    </comment>
    <comment ref="L257" authorId="0">
      <text>
        <r>
          <rPr>
            <sz val="10"/>
            <color rgb="FF000000"/>
            <rFont val="Calibri"/>
            <family val="2"/>
            <scheme val="minor"/>
          </rPr>
          <t>"weight of leaves"</t>
        </r>
      </text>
    </comment>
    <comment ref="L258" authorId="0">
      <text>
        <r>
          <rPr>
            <sz val="10"/>
            <color rgb="FF000000"/>
            <rFont val="Calibri"/>
            <family val="2"/>
            <scheme val="minor"/>
          </rPr>
          <t>weight of roots, with or without peel, excluding tops</t>
        </r>
      </text>
    </comment>
    <comment ref="L259" authorId="0">
      <text>
        <r>
          <rPr>
            <sz val="10"/>
            <color rgb="FF000000"/>
            <rFont val="Calibri"/>
            <family val="2"/>
            <scheme val="minor"/>
          </rPr>
          <t>weight of roots, with or without peel, excluding tops</t>
        </r>
      </text>
    </comment>
    <comment ref="N259" authorId="0">
      <text>
        <r>
          <rPr>
            <sz val="10"/>
            <color rgb="FF000000"/>
            <rFont val="Calibri"/>
            <family val="2"/>
            <scheme val="minor"/>
          </rPr>
          <t>Used conversion ratio from additional calculations
derived from Heller WSF value for:
"Carrot; weight of roots, with or without peel, excluding tops"
=1.327</t>
        </r>
      </text>
    </comment>
    <comment ref="L260" authorId="0">
      <text>
        <r>
          <rPr>
            <sz val="10"/>
            <color rgb="FF000000"/>
            <rFont val="Calibri"/>
            <family val="2"/>
            <scheme val="minor"/>
          </rPr>
          <t>weight of flower heads and adjoining stems</t>
        </r>
      </text>
    </comment>
    <comment ref="L263" authorId="0">
      <text>
        <r>
          <rPr>
            <sz val="10"/>
            <color rgb="FF000000"/>
            <rFont val="Calibri"/>
            <family val="2"/>
            <scheme val="minor"/>
          </rPr>
          <t>dry weight of bulb; excluding skin (outer scales)</t>
        </r>
      </text>
    </comment>
    <comment ref="N263" authorId="0">
      <text>
        <r>
          <rPr>
            <sz val="10"/>
            <color rgb="FF000000"/>
            <rFont val="Calibri"/>
            <family val="2"/>
            <scheme val="minor"/>
          </rPr>
          <t>Used conversion ratio from additional calculations
derived from Heller WSF value for:
"Garlic, bulb; dry weight of bulb; excluding skin (outer scales)"
=1.28</t>
        </r>
      </text>
    </comment>
    <comment ref="L264" authorId="0">
      <text>
        <r>
          <rPr>
            <sz val="10"/>
            <color rgb="FF000000"/>
            <rFont val="Calibri"/>
            <family val="2"/>
            <scheme val="minor"/>
          </rPr>
          <t>dry weight of bulb; excluding skin (outer scales)</t>
        </r>
      </text>
    </comment>
    <comment ref="N264" authorId="0">
      <text>
        <r>
          <rPr>
            <sz val="10"/>
            <color rgb="FF000000"/>
            <rFont val="Calibri"/>
            <family val="2"/>
            <scheme val="minor"/>
          </rPr>
          <t>"Garlic, bulb" = "dry weight of bulb; excluding skin (outer scales)"</t>
        </r>
      </text>
    </comment>
    <comment ref="L265" authorId="0">
      <text>
        <r>
          <rPr>
            <sz val="10"/>
            <color rgb="FF000000"/>
            <rFont val="Calibri"/>
            <family val="2"/>
            <scheme val="minor"/>
          </rPr>
          <t>Bean, snap, succulent
weight of bean and pod</t>
        </r>
      </text>
    </comment>
    <comment ref="L267" authorId="0">
      <text>
        <r>
          <rPr>
            <sz val="10"/>
            <color rgb="FF000000"/>
            <rFont val="Calibri"/>
            <family val="2"/>
            <scheme val="minor"/>
          </rPr>
          <t>504: Lettuce, head = weight of leaves; juice 
605: Lettuce, leaf = weight of leaves</t>
        </r>
      </text>
    </comment>
    <comment ref="L268" authorId="0">
      <text>
        <r>
          <rPr>
            <sz val="10"/>
            <color rgb="FF000000"/>
            <rFont val="Calibri"/>
            <family val="2"/>
            <scheme val="minor"/>
          </rPr>
          <t>504: Lettuce, head = weight of leaves; juice 
605: Lettuce, leaf = weight of leaves</t>
        </r>
      </text>
    </comment>
    <comment ref="L269" authorId="0">
      <text>
        <r>
          <rPr>
            <sz val="10"/>
            <color rgb="FF000000"/>
            <rFont val="Calibri"/>
            <family val="2"/>
            <scheme val="minor"/>
          </rPr>
          <t>weight of caps or caps and stems</t>
        </r>
      </text>
    </comment>
    <comment ref="L272" authorId="0">
      <text>
        <r>
          <rPr>
            <sz val="10"/>
            <color rgb="FF000000"/>
            <rFont val="Calibri"/>
            <family val="2"/>
            <scheme val="minor"/>
          </rPr>
          <t>Onion, bulb: weight of bulb; excluding outer skin
(this is not onion, bulb, dried)</t>
        </r>
      </text>
    </comment>
    <comment ref="L274" authorId="0">
      <text>
        <r>
          <rPr>
            <sz val="10"/>
            <color rgb="FF000000"/>
            <rFont val="Calibri"/>
            <family val="2"/>
            <scheme val="minor"/>
          </rPr>
          <t>Pepper, bell
weight of flesh; excluding seeds and stem</t>
        </r>
      </text>
    </comment>
    <comment ref="L275" authorId="0">
      <text>
        <r>
          <rPr>
            <sz val="10"/>
            <color rgb="FF000000"/>
            <rFont val="Calibri"/>
            <family val="2"/>
            <scheme val="minor"/>
          </rPr>
          <t>Pepper, nonbell
weight of flesh, with or without seeds; excluding stem</t>
        </r>
      </text>
    </comment>
    <comment ref="L276" authorId="0">
      <text>
        <r>
          <rPr>
            <sz val="10"/>
            <color rgb="FF000000"/>
            <rFont val="Calibri"/>
            <family val="2"/>
            <scheme val="minor"/>
          </rPr>
          <t>Pepper, bell
weight of flesh; excluding seeds and stem</t>
        </r>
      </text>
    </comment>
    <comment ref="L278" authorId="0">
      <text>
        <r>
          <rPr>
            <sz val="10"/>
            <color rgb="FF000000"/>
            <rFont val="Calibri"/>
            <family val="2"/>
            <scheme val="minor"/>
          </rPr>
          <t>weight of leaves; juice</t>
        </r>
      </text>
    </comment>
    <comment ref="L279" authorId="0">
      <text>
        <r>
          <rPr>
            <sz val="10"/>
            <color rgb="FF000000"/>
            <rFont val="Calibri"/>
            <family val="2"/>
            <scheme val="minor"/>
          </rPr>
          <t>Squash, summer	
weight of flesh, seeds and peel</t>
        </r>
      </text>
    </comment>
    <comment ref="N279" authorId="0">
      <text>
        <r>
          <rPr>
            <sz val="10"/>
            <color rgb="FF000000"/>
            <rFont val="Calibri"/>
            <family val="2"/>
            <scheme val="minor"/>
          </rPr>
          <t>Used conversion ratio from additional calculations
derived from Heller WSF value for:
"Squash, summer; weight of flesh, seeds and peel"
=.322</t>
        </r>
      </text>
    </comment>
    <comment ref="L280" authorId="0">
      <text>
        <r>
          <rPr>
            <sz val="10"/>
            <color rgb="FF000000"/>
            <rFont val="Calibri"/>
            <family val="2"/>
            <scheme val="minor"/>
          </rPr>
          <t>Squash, winter	
weight of flesh; excluding seeds and peel</t>
        </r>
      </text>
    </comment>
    <comment ref="N280" authorId="0">
      <text>
        <r>
          <rPr>
            <sz val="10"/>
            <color rgb="FF000000"/>
            <rFont val="Calibri"/>
            <family val="2"/>
            <scheme val="minor"/>
          </rPr>
          <t>Used conversion ratio from additional calculations
derived from Heller WSF value for:
"Squash, winter; weight of flesh; excluding seeds and peel"
=.433</t>
        </r>
      </text>
    </comment>
    <comment ref="L281" authorId="0">
      <text>
        <r>
          <rPr>
            <sz val="10"/>
            <color rgb="FF000000"/>
            <rFont val="Calibri"/>
            <family val="2"/>
            <scheme val="minor"/>
          </rPr>
          <t>Sweet potato	
weight of roots, with or without peel; juice</t>
        </r>
      </text>
    </comment>
    <comment ref="N281" authorId="0">
      <text>
        <r>
          <rPr>
            <sz val="10"/>
            <color rgb="FF000000"/>
            <rFont val="Calibri"/>
            <family val="2"/>
            <scheme val="minor"/>
          </rPr>
          <t>Used conversion ratio from additional calculations
derived from Heller WSF value for:
"Sweet potato; weight of roots, with or without peel; juice"
=.494</t>
        </r>
      </text>
    </comment>
    <comment ref="L282" authorId="0">
      <text>
        <r>
          <rPr>
            <sz val="10"/>
            <color rgb="FF000000"/>
            <rFont val="Calibri"/>
            <family val="2"/>
            <scheme val="minor"/>
          </rPr>
          <t>Tomato	
weight of pulp, seeds and skin; tomatoes without skin but with seed (example canned whole tomatoes)</t>
        </r>
      </text>
    </comment>
    <comment ref="L286" authorId="0">
      <text>
        <r>
          <rPr>
            <sz val="10"/>
            <color rgb="FF000000"/>
            <rFont val="Calibri"/>
            <family val="2"/>
            <scheme val="minor"/>
          </rPr>
          <t>Parsley, leaves (not dried) - needs conversion to dry</t>
        </r>
      </text>
    </comment>
    <comment ref="N286" authorId="0">
      <text>
        <r>
          <rPr>
            <sz val="10"/>
            <color rgb="FF000000"/>
            <rFont val="Calibri"/>
            <family val="2"/>
            <scheme val="minor"/>
          </rPr>
          <t>Used conversion ratio from additional calculations
derived from Heller WSF value for:
"Parsley, leaves; weight of leaves and stems"
=.522</t>
        </r>
      </text>
    </comment>
    <comment ref="L295" authorId="0">
      <text>
        <r>
          <rPr>
            <sz val="10"/>
            <color rgb="FF000000"/>
            <rFont val="Calibri"/>
            <family val="2"/>
            <scheme val="minor"/>
          </rPr>
          <t>weight of leaves; juice</t>
        </r>
      </text>
    </comment>
    <comment ref="L297" authorId="0">
      <text>
        <r>
          <rPr>
            <sz val="10"/>
            <color rgb="FF000000"/>
            <rFont val="Calibri"/>
            <family val="2"/>
            <scheme val="minor"/>
          </rPr>
          <t>Potato, tuber, w/peel	
weight of tuber;  including peel</t>
        </r>
      </text>
    </comment>
    <comment ref="L298" authorId="0">
      <text>
        <r>
          <rPr>
            <sz val="10"/>
            <color rgb="FF000000"/>
            <rFont val="Calibri"/>
            <family val="2"/>
            <scheme val="minor"/>
          </rPr>
          <t>Squash, summer	
weight of flesh, seeds and peel</t>
        </r>
      </text>
    </comment>
    <comment ref="L299" authorId="0">
      <text>
        <r>
          <rPr>
            <sz val="10"/>
            <color rgb="FF000000"/>
            <rFont val="Calibri"/>
            <family val="2"/>
            <scheme val="minor"/>
          </rPr>
          <t>"Broccoli" 
"weight of flower heads and adjoining stems"</t>
        </r>
      </text>
    </comment>
    <comment ref="L300" authorId="0">
      <text>
        <r>
          <rPr>
            <sz val="10"/>
            <color rgb="FF000000"/>
            <rFont val="Calibri"/>
            <family val="2"/>
            <scheme val="minor"/>
          </rPr>
          <t>"weight of leaves"</t>
        </r>
      </text>
    </comment>
    <comment ref="L301" authorId="0">
      <text>
        <r>
          <rPr>
            <sz val="10"/>
            <color rgb="FF000000"/>
            <rFont val="Calibri"/>
            <family val="2"/>
            <scheme val="minor"/>
          </rPr>
          <t>weight of flower heads and adjoining stems</t>
        </r>
      </text>
    </comment>
    <comment ref="L302" authorId="0">
      <text>
        <r>
          <rPr>
            <sz val="10"/>
            <color rgb="FF000000"/>
            <rFont val="Calibri"/>
            <family val="2"/>
            <scheme val="minor"/>
          </rPr>
          <t>dry weight of bulb; excluding skin (outer scales)</t>
        </r>
      </text>
    </comment>
    <comment ref="L303" authorId="0">
      <text>
        <r>
          <rPr>
            <sz val="10"/>
            <color rgb="FF000000"/>
            <rFont val="Calibri"/>
            <family val="2"/>
            <scheme val="minor"/>
          </rPr>
          <t>504: Lettuce, head = weight of leaves; juice 
605: Lettuce, leaf = weight of leaves</t>
        </r>
      </text>
    </comment>
    <comment ref="L304" authorId="0">
      <text>
        <r>
          <rPr>
            <sz val="10"/>
            <color rgb="FF000000"/>
            <rFont val="Calibri"/>
            <family val="2"/>
            <scheme val="minor"/>
          </rPr>
          <t>504: Lettuce, head = weight of leaves; juice 
605: Lettuce, leaf = weight of leaves</t>
        </r>
      </text>
    </comment>
    <comment ref="L310" authorId="0">
      <text>
        <r>
          <rPr>
            <sz val="10"/>
            <color rgb="FF000000"/>
            <rFont val="Calibri"/>
            <family val="2"/>
            <scheme val="minor"/>
          </rPr>
          <t>"weight of leaf sprouts"</t>
        </r>
      </text>
    </comment>
    <comment ref="L311" authorId="0">
      <text>
        <r>
          <rPr>
            <sz val="10"/>
            <color rgb="FF000000"/>
            <rFont val="Calibri"/>
            <family val="2"/>
            <scheme val="minor"/>
          </rPr>
          <t>Pepper, bell
weight of flesh; excluding seeds and stem</t>
        </r>
      </text>
    </comment>
    <comment ref="L312" authorId="0">
      <text>
        <r>
          <rPr>
            <sz val="10"/>
            <color rgb="FF000000"/>
            <rFont val="Calibri"/>
            <family val="2"/>
            <scheme val="minor"/>
          </rPr>
          <t>Pepper, nonbell
weight of flesh, with or without seeds; excluding stem</t>
        </r>
      </text>
    </comment>
    <comment ref="L314" authorId="0">
      <text>
        <r>
          <rPr>
            <sz val="10"/>
            <color rgb="FF000000"/>
            <rFont val="Calibri"/>
            <family val="2"/>
            <scheme val="minor"/>
          </rPr>
          <t>Squash, winter	
weight of flesh; excluding seeds and peel</t>
        </r>
      </text>
    </comment>
    <comment ref="L315" authorId="0">
      <text>
        <r>
          <rPr>
            <sz val="10"/>
            <color rgb="FF000000"/>
            <rFont val="Calibri"/>
            <family val="2"/>
            <scheme val="minor"/>
          </rPr>
          <t>weight of roots, with or without peel, excluding tops</t>
        </r>
      </text>
    </comment>
    <comment ref="L316" authorId="0">
      <text>
        <r>
          <rPr>
            <sz val="10"/>
            <color rgb="FF000000"/>
            <rFont val="Calibri"/>
            <family val="2"/>
            <scheme val="minor"/>
          </rPr>
          <t>Bean, snap, succulent
weight of bean and pod</t>
        </r>
      </text>
    </comment>
    <comment ref="L317" authorId="0">
      <text>
        <r>
          <rPr>
            <sz val="10"/>
            <color rgb="FF000000"/>
            <rFont val="Calibri"/>
            <family val="2"/>
            <scheme val="minor"/>
          </rPr>
          <t>Tomato	
weight of pulp, seeds and skin; tomatoes without skin but with seed (example canned whole tomatoes)</t>
        </r>
      </text>
    </comment>
    <comment ref="L318" authorId="0">
      <text>
        <r>
          <rPr>
            <sz val="10"/>
            <color rgb="FF000000"/>
            <rFont val="Calibri"/>
            <family val="2"/>
            <scheme val="minor"/>
          </rPr>
          <t>Onion, bulb: weight of bulb; excluding outer skin
(this is not onion, bulb, dried)</t>
        </r>
      </text>
    </comment>
    <comment ref="L319" authorId="0">
      <text>
        <r>
          <rPr>
            <sz val="10"/>
            <color rgb="FF000000"/>
            <rFont val="Calibri"/>
            <family val="2"/>
            <scheme val="minor"/>
          </rPr>
          <t>weight of caps or caps and stems</t>
        </r>
      </text>
    </comment>
    <comment ref="L320" authorId="0">
      <text>
        <r>
          <rPr>
            <sz val="10"/>
            <color rgb="FF000000"/>
            <rFont val="Calibri"/>
            <family val="2"/>
            <scheme val="minor"/>
          </rPr>
          <t>Sweet potato	
weight of roots, with or without peel; juice</t>
        </r>
      </text>
    </comment>
  </commentList>
</comments>
</file>

<file path=xl/sharedStrings.xml><?xml version="1.0" encoding="utf-8"?>
<sst xmlns="http://schemas.openxmlformats.org/spreadsheetml/2006/main" xmlns:r="http://schemas.openxmlformats.org/officeDocument/2006/relationships" xmlns:xdr="http://schemas.openxmlformats.org/drawingml/2006/spreadsheetDrawing" count="3106" uniqueCount="1674">
  <si>
    <t>ALMONDS</t>
  </si>
  <si>
    <t>rapeseed oil</t>
  </si>
  <si>
    <t>OATS</t>
  </si>
  <si>
    <t>olive</t>
  </si>
  <si>
    <t>olive oil</t>
  </si>
  <si>
    <t>peas</t>
  </si>
  <si>
    <t>rice</t>
  </si>
  <si>
    <t>soybean</t>
  </si>
  <si>
    <t>soybean oil</t>
  </si>
  <si>
    <t>tofu</t>
  </si>
  <si>
    <t>BUCKWHEAT</t>
  </si>
  <si>
    <t>SORGHUM</t>
  </si>
  <si>
    <t>RYE</t>
  </si>
  <si>
    <t>water</t>
  </si>
  <si>
    <t>Unprocessed or minimally processed foods</t>
  </si>
  <si>
    <t>510.6 (11.5)</t>
  </si>
  <si>
    <t>26.0 (0.6)</t>
  </si>
  <si>
    <t> Meat (includes poultry)</t>
  </si>
  <si>
    <t>125.3 (5.4)</t>
  </si>
  <si>
    <t>6.0 (0.2)</t>
  </si>
  <si>
    <t>82.9 (3.2)</t>
  </si>
  <si>
    <t>4.4 (0.2)</t>
  </si>
  <si>
    <t> Milk and plain yogurt</t>
  </si>
  <si>
    <t>70.7 (2.8)</t>
  </si>
  <si>
    <t>3.7 (0.2)</t>
  </si>
  <si>
    <t> Grains</t>
  </si>
  <si>
    <t>48.4 (4.1)</t>
  </si>
  <si>
    <t>2.6 (0.2)</t>
  </si>
  <si>
    <t>3.2 (0.2)</t>
  </si>
  <si>
    <t> Roots and tubers</t>
  </si>
  <si>
    <t>29.1 (1.4)</t>
  </si>
  <si>
    <t>1.5 (0.1)</t>
  </si>
  <si>
    <t>1.4 (0.1)</t>
  </si>
  <si>
    <t>1.7 (0.1)</t>
  </si>
  <si>
    <t> Eggs</t>
  </si>
  <si>
    <t>33.3 (1.6)</t>
  </si>
  <si>
    <t> Pasta</t>
  </si>
  <si>
    <t>35.8 (2.9)</t>
  </si>
  <si>
    <t>1.8 (0.2)</t>
  </si>
  <si>
    <t>1.7 (0.2)</t>
  </si>
  <si>
    <t>2.1 (0.2)</t>
  </si>
  <si>
    <t> Legumes</t>
  </si>
  <si>
    <t>15.2 (1.6)</t>
  </si>
  <si>
    <t>0.7 (0.1)</t>
  </si>
  <si>
    <t> Fish and sea food</t>
  </si>
  <si>
    <t>13.8 (1.1)</t>
  </si>
  <si>
    <t>0.9 (0.1)</t>
  </si>
  <si>
    <t> Vegetables</t>
  </si>
  <si>
    <t>13.0 (0.9)</t>
  </si>
  <si>
    <t>0.7 (0.0)</t>
  </si>
  <si>
    <t>43.0 (3.2)</t>
  </si>
  <si>
    <t>2.8 (0.2)</t>
  </si>
  <si>
    <t>Processed culinary ingredients</t>
  </si>
  <si>
    <t>108.3 (3.1)</t>
  </si>
  <si>
    <t>5.2 (0.1)</t>
  </si>
  <si>
    <t>21.0 (1.0)</t>
  </si>
  <si>
    <t>1.0 (0.1)</t>
  </si>
  <si>
    <t>1.1 (0.1)</t>
  </si>
  <si>
    <t> Plant oils</t>
  </si>
  <si>
    <t>51.5 (2.4)</t>
  </si>
  <si>
    <t>2.4 (0.1)</t>
  </si>
  <si>
    <t>2.8 (0.1)</t>
  </si>
  <si>
    <t>34.6 (1.8)</t>
  </si>
  <si>
    <t>1.2 (0.1)</t>
  </si>
  <si>
    <t>1.3 (0.2)</t>
  </si>
  <si>
    <t>0.1 (0.0)</t>
  </si>
  <si>
    <t>Processed foods</t>
  </si>
  <si>
    <t>9.0 (0.3)</t>
  </si>
  <si>
    <t>299.7 (9.8)</t>
  </si>
  <si>
    <t>13.7 (0.4)</t>
  </si>
  <si>
    <t> Cheese</t>
  </si>
  <si>
    <t>70.0 (3.9)</t>
  </si>
  <si>
    <t> Ham and other salted, smoked or canned meat or fish</t>
  </si>
  <si>
    <t>18.5 (1.8)</t>
  </si>
  <si>
    <t> Vegetables and other plant foods preserved in brine</t>
  </si>
  <si>
    <t>11.3 (0.6)</t>
  </si>
  <si>
    <t>0.6 (0.0)</t>
  </si>
  <si>
    <t>199.9 (7.0)</t>
  </si>
  <si>
    <t>Ultraprocessed foods</t>
  </si>
  <si>
    <t>1127.3 (16.0)</t>
  </si>
  <si>
    <t>53.4 (0.8)</t>
  </si>
  <si>
    <t>149.1 (5.2)</t>
  </si>
  <si>
    <t>7.4 (0.3)</t>
  </si>
  <si>
    <t> Cakes, cookies and pies</t>
  </si>
  <si>
    <t>128.8 (3.8)</t>
  </si>
  <si>
    <t>5.8 (0.2)</t>
  </si>
  <si>
    <t>5.6 (0.2)</t>
  </si>
  <si>
    <t> Reconstituted meat or fish products</t>
  </si>
  <si>
    <t>121.9 (4.2)</t>
  </si>
  <si>
    <t> Salty snacks</t>
  </si>
  <si>
    <t>56.6 (2.2)</t>
  </si>
  <si>
    <t>2.9 (0.1)</t>
  </si>
  <si>
    <t> Frozen and shelf-stable plate meals</t>
  </si>
  <si>
    <t>58.8 (4.3)</t>
  </si>
  <si>
    <t> Soft drinks, carbonated</t>
  </si>
  <si>
    <t>69.0 (5.0)</t>
  </si>
  <si>
    <t>3.1 (0.3)</t>
  </si>
  <si>
    <t> Pizza (ready-to-eat/heat)</t>
  </si>
  <si>
    <t>74.9 (2.8)</t>
  </si>
  <si>
    <t>3.4 (0.2)</t>
  </si>
  <si>
    <t>58.3 (3.3)</t>
  </si>
  <si>
    <t>2.9 (0.2)</t>
  </si>
  <si>
    <t> Breakfast cereals</t>
  </si>
  <si>
    <t>37.4 (1.3)</t>
  </si>
  <si>
    <t>1.9 (0.1)</t>
  </si>
  <si>
    <t> Sauces, dressings, and gravies</t>
  </si>
  <si>
    <t>67.8 (2.8)</t>
  </si>
  <si>
    <t>3.2 (0.1)</t>
  </si>
  <si>
    <t> Ice cream and ice pops</t>
  </si>
  <si>
    <t>40.3 (2.6)</t>
  </si>
  <si>
    <t> Sweet snacks</t>
  </si>
  <si>
    <t>57.4 (3.0)</t>
  </si>
  <si>
    <t>28.3 (2.3)</t>
  </si>
  <si>
    <t>24.4 (2.2)</t>
  </si>
  <si>
    <t>34.0 (2.2)</t>
  </si>
  <si>
    <t> Sandwiches and hamburgers on bun (ready-to-eat/heat)</t>
  </si>
  <si>
    <t>36.9 (3.7)</t>
  </si>
  <si>
    <t> Instant and canned soups</t>
  </si>
  <si>
    <t>17.8 (1.6)</t>
  </si>
  <si>
    <t>65.6 (2.9)</t>
  </si>
  <si>
    <t>—</t>
  </si>
  <si>
    <t>39.3 (3.8)</t>
  </si>
  <si>
    <t>Total</t>
  </si>
  <si>
    <t>2085.2 (14.1)</t>
  </si>
  <si>
    <t>Reference approach</t>
  </si>
  <si>
    <t>Alternative approaches</t>
  </si>
  <si>
    <t>Absolute (kcal/d)</t>
  </si>
  <si>
    <t>Relative (% of total energy intake)</t>
  </si>
  <si>
    <t>"BASIC FFQ RECIPE" food items</t>
  </si>
  <si>
    <t>"FFQ Category" (Food type)</t>
  </si>
  <si>
    <t>Lancet food group</t>
  </si>
  <si>
    <t>parent ingredient</t>
  </si>
  <si>
    <t>constituent ingredients combined</t>
  </si>
  <si>
    <t>Reference</t>
  </si>
  <si>
    <t>Rows in Additional Calculations Sheet</t>
  </si>
  <si>
    <t>LAND Needs, loss-adjusted (m2-yr/1g)</t>
  </si>
  <si>
    <t>NR needs, loss-adjusted (gNr/1g)</t>
  </si>
  <si>
    <t>BLUE WATER needs (m^3/1g)</t>
  </si>
  <si>
    <t>HELLER WATER SCARCITY FOOTPRINT (liter eq./kg)</t>
  </si>
  <si>
    <t>HELLER WATER SCARCITY FOOTPRINT (liter eq./g)</t>
  </si>
  <si>
    <t>DIEM
WATER SCARCITY FOOTPRINT (liter eq./g)</t>
  </si>
  <si>
    <t>GHGE (kgCO2eq/1g)</t>
  </si>
  <si>
    <t>ID</t>
  </si>
  <si>
    <t>LAND Needs, loss-adjusted (m2-yr/1g)
(0.738)</t>
  </si>
  <si>
    <t>NR needs, loss-adjusted (gNr/1g)
(2.816)</t>
  </si>
  <si>
    <t>DIEM
WATER SCARCITY FOOTPRINT (liter eq./g)
(86.625)</t>
  </si>
  <si>
    <t>GHGE (kgCO2eq/1g)
(0.04289)</t>
  </si>
  <si>
    <t>LAND</t>
  </si>
  <si>
    <t>NR</t>
  </si>
  <si>
    <t>WSF</t>
  </si>
  <si>
    <t>GHGE</t>
  </si>
  <si>
    <t>AVERAGES of FOOD GROUPS</t>
  </si>
  <si>
    <t>STRATIFIED FOOD GROUPS</t>
  </si>
  <si>
    <t>AVERAGE Food Group Score
(gradient on 0-10 pt scale)</t>
  </si>
  <si>
    <t>AVERAGE Food Group Score
(gradient illustrates 0-8.25 stratification)</t>
  </si>
  <si>
    <t>chicken fat</t>
  </si>
  <si>
    <t>poultry</t>
  </si>
  <si>
    <t>animal fat poultry</t>
  </si>
  <si>
    <t>chicken</t>
  </si>
  <si>
    <t>chicken meat, chicken fat, chicken skin, chicken liver</t>
  </si>
  <si>
    <t>nur11.sas.dd: chwi11d = "MEATS-Chicken or Turkey, With Skin"; same environmental attributes as chwo11d = "MEATS-Chicken/Turkey, Without Skin"</t>
  </si>
  <si>
    <t>pchixf</t>
  </si>
  <si>
    <t>Animal Fats</t>
  </si>
  <si>
    <t>animal shortening (lard)</t>
  </si>
  <si>
    <t>red meat</t>
  </si>
  <si>
    <t>animal fat red meat</t>
  </si>
  <si>
    <t>rshortan</t>
  </si>
  <si>
    <t>lard</t>
  </si>
  <si>
    <t>Water</t>
  </si>
  <si>
    <t>beverage</t>
  </si>
  <si>
    <t>bh2o</t>
  </si>
  <si>
    <t>Alcoholic Beverages</t>
  </si>
  <si>
    <t>beer</t>
  </si>
  <si>
    <t>beverage alcohol</t>
  </si>
  <si>
    <t>NA</t>
  </si>
  <si>
    <t>beer, light beer</t>
  </si>
  <si>
    <t>Additional calculations; Mekonnen &amp; Hoekstra</t>
  </si>
  <si>
    <t>*</t>
  </si>
  <si>
    <t>bbeer</t>
  </si>
  <si>
    <t>Fruit Juice</t>
  </si>
  <si>
    <t>1.482758621*beer; Gidon Correspondence, Additional Calculations</t>
  </si>
  <si>
    <t>bbeerl</t>
  </si>
  <si>
    <t>SSBs</t>
  </si>
  <si>
    <t>liquor, 80 proof liquor</t>
  </si>
  <si>
    <t>Additional Calculations; nur11.sas.dd: liq11d = "BEVERAGES - Liquor"; land and water conversion calculation: 282.9079577*beer</t>
  </si>
  <si>
    <t>bliq</t>
  </si>
  <si>
    <t>Tea and Coffee</t>
  </si>
  <si>
    <t>wine, red</t>
  </si>
  <si>
    <t>fruits</t>
  </si>
  <si>
    <t>grapes, red wine, white wine</t>
  </si>
  <si>
    <t>Gidon MAD; Additional Calculations</t>
  </si>
  <si>
    <t>bwiner</t>
  </si>
  <si>
    <t>Dairy</t>
  </si>
  <si>
    <t>wine, white</t>
  </si>
  <si>
    <t>bwinew</t>
  </si>
  <si>
    <t>Eggs</t>
  </si>
  <si>
    <t>carrot juice</t>
  </si>
  <si>
    <t>beverage juice veg</t>
  </si>
  <si>
    <t>mixed vegetables, carrot</t>
  </si>
  <si>
    <t>carrot</t>
  </si>
  <si>
    <t>Additional calculations</t>
  </si>
  <si>
    <t>bcarr</t>
  </si>
  <si>
    <t>Fish</t>
  </si>
  <si>
    <t>tomato juice</t>
  </si>
  <si>
    <t>Additional Calculations; nur11.sas.dd: toj11d = "VEGETABLES - Tomato Juice or V-8 (L26)"; FFQ variable names joint.xlsx description: "tomato juice"</t>
  </si>
  <si>
    <t>btom</t>
  </si>
  <si>
    <t>Fruit</t>
  </si>
  <si>
    <t>apple juice</t>
  </si>
  <si>
    <t>bappl</t>
  </si>
  <si>
    <t>Refined Grains</t>
  </si>
  <si>
    <t>cranberry juice</t>
  </si>
  <si>
    <t>cranberry juice, cranberries</t>
  </si>
  <si>
    <t>bcran</t>
  </si>
  <si>
    <t>Whole Grains</t>
  </si>
  <si>
    <t>grape, juice from concentrate, frozen</t>
  </si>
  <si>
    <t>frozen grape juice from concentrate</t>
  </si>
  <si>
    <t>bgrap</t>
  </si>
  <si>
    <t>Legumes</t>
  </si>
  <si>
    <t>grapefruit juice</t>
  </si>
  <si>
    <t>bgrft</t>
  </si>
  <si>
    <t>Nuts</t>
  </si>
  <si>
    <t>lemon juice from concentrate</t>
  </si>
  <si>
    <t>lemons, limes</t>
  </si>
  <si>
    <t>Gidon MAD; Additional calculations; Gidon Correspondence - "use orange env. att"</t>
  </si>
  <si>
    <t>blem</t>
  </si>
  <si>
    <t>Vegetable Oils</t>
  </si>
  <si>
    <t>lime juice</t>
  </si>
  <si>
    <t>blim</t>
  </si>
  <si>
    <t>Margarine</t>
  </si>
  <si>
    <t>orange juice chilled</t>
  </si>
  <si>
    <t>orange juice, orange juice chilled</t>
  </si>
  <si>
    <t>Gidon MAD; additional calculations; Mekonnen and Hoekstra; nur11.sas.dd: oj11d = "orange juice"</t>
  </si>
  <si>
    <t>boranch</t>
  </si>
  <si>
    <t>Poultry</t>
  </si>
  <si>
    <t>orange juice from concentrate</t>
  </si>
  <si>
    <t>boranco</t>
  </si>
  <si>
    <t>Red and Processed Meat</t>
  </si>
  <si>
    <t>orange juice; oj</t>
  </si>
  <si>
    <t>boran</t>
  </si>
  <si>
    <t>Sweets</t>
  </si>
  <si>
    <t>canned unsweetened pineapple juice</t>
  </si>
  <si>
    <t>bpine</t>
  </si>
  <si>
    <t>Potatoes</t>
  </si>
  <si>
    <t>plum, prune juice</t>
  </si>
  <si>
    <t>prune juice</t>
  </si>
  <si>
    <t>prune*0.2958333333; additional calculations Rows 510-512</t>
  </si>
  <si>
    <t>bplum</t>
  </si>
  <si>
    <t>Vegetables</t>
  </si>
  <si>
    <t>pomegranate juice</t>
  </si>
  <si>
    <t>bpome</t>
  </si>
  <si>
    <t>soda, coca-cola</t>
  </si>
  <si>
    <t>beverage SSB</t>
  </si>
  <si>
    <t>corn</t>
  </si>
  <si>
    <t>corn, high-fructose corn syrup, other carbonated beverage</t>
  </si>
  <si>
    <t>0.1419583169*HFCS; Additional calculations; nur11.sas.dd: cola11d = "Carbonated Bev w/Caffeine,Sugar"; https://ndb.nal.usda.gov/ndb/foods/show/45130947?fgcd=&amp;manu=&amp;format=&amp;count=&amp;max=25&amp;offset=&amp;sort=default&amp;order=asc&amp;qlookup=coca+cola&amp;ds=&amp;qt=&amp;qp=&amp;qa=&amp;qn=&amp;q=&amp;ing=</t>
  </si>
  <si>
    <t>bsoda</t>
  </si>
  <si>
    <t>soda, diet soda</t>
  </si>
  <si>
    <t>diet soda with caffeine, diet soda without caffeine, splenda</t>
  </si>
  <si>
    <t>Gidon Correspondence (equals sugar-free sweetener)</t>
  </si>
  <si>
    <t>bsodad</t>
  </si>
  <si>
    <t>soda, diet soda without caffeine</t>
  </si>
  <si>
    <t>same as diet soda; Gidon Correspondence (equals sugar-free sweetener)</t>
  </si>
  <si>
    <t>bsodano</t>
  </si>
  <si>
    <t>soda, other carbonated beverage with sugar, without caffeine</t>
  </si>
  <si>
    <t>same as coca-cola</t>
  </si>
  <si>
    <t>0.1419583169*HFCS; Additional Calculations; description: "other carb. beverageas with sugar" ; nur11.sas.dd: otsug = "BEV-Carbonated w/Sug no Caffeine"</t>
  </si>
  <si>
    <t>bsodaoth</t>
  </si>
  <si>
    <t>coffee, drip</t>
  </si>
  <si>
    <t>beverage tea and coffee</t>
  </si>
  <si>
    <t>coffee</t>
  </si>
  <si>
    <t>coffee, instant decaf coffee, espresso</t>
  </si>
  <si>
    <t>Additional Calculations; Gidon correspondence</t>
  </si>
  <si>
    <t>bcoff</t>
  </si>
  <si>
    <t>coffee, espresso</t>
  </si>
  <si>
    <t>bcoffe</t>
  </si>
  <si>
    <t>coffee, instant decaf coffee</t>
  </si>
  <si>
    <t>bcoffi</t>
  </si>
  <si>
    <t>tea, decaf tea</t>
  </si>
  <si>
    <t>tea</t>
  </si>
  <si>
    <t>comparable to "tea" (Gidon Correspondence); Additional calculations</t>
  </si>
  <si>
    <t>btead</t>
  </si>
  <si>
    <t>tea, regular</t>
  </si>
  <si>
    <t>btea</t>
  </si>
  <si>
    <t>buttermilk</t>
  </si>
  <si>
    <t>dairy</t>
  </si>
  <si>
    <t>cow dairy</t>
  </si>
  <si>
    <t>dbuttm</t>
  </si>
  <si>
    <t>cheese, mozzarella skim regular</t>
  </si>
  <si>
    <t>dchmozzsk</t>
  </si>
  <si>
    <t>cheese, skim milk cheese</t>
  </si>
  <si>
    <t>Additional calculations; nur11.sas.dd: chnft11d = "Type of Cheese Usually Used - Nonfat"; Average of NDB# 1028 Cheese, mozzarella, part skim milk and NDB# 1037 Cheese, ricotta part skim; Gidon Correspondence</t>
  </si>
  <si>
    <t>dchskim</t>
  </si>
  <si>
    <t>cottage cheese, low fat</t>
  </si>
  <si>
    <t>low fat cottage cheese</t>
  </si>
  <si>
    <t>Additional calculations; NDB# 1016 Cheese, cottage, lowfat, 1% milkfat</t>
  </si>
  <si>
    <t>dchcott</t>
  </si>
  <si>
    <t>cream cheese</t>
  </si>
  <si>
    <t>Additional calculations; NDB # 01017 , cream cheese</t>
  </si>
  <si>
    <t>dchcream</t>
  </si>
  <si>
    <t>cream fluid, heavy whipping</t>
  </si>
  <si>
    <t>cream, heavy cream</t>
  </si>
  <si>
    <t>Additional calculations; self-referential; nur11.sas.dd: cream11d = "DAIRY - Cream"; NDB# 1053 Cream, fluid, heavy whipping</t>
  </si>
  <si>
    <t>dcreamfh</t>
  </si>
  <si>
    <t>cream fluid, light (coffee or table cream)</t>
  </si>
  <si>
    <t>heavy cream, cream</t>
  </si>
  <si>
    <t>Additional calculations; self-referential; nur11.sas.dd: cream11d = "DAIRY - Cream"; NDB# 01050 ; cream, fluid, light (coffee or table ceam)</t>
  </si>
  <si>
    <t>dcreamfl</t>
  </si>
  <si>
    <t>cream, pressurized (whipped cream)</t>
  </si>
  <si>
    <t>whipped cream</t>
  </si>
  <si>
    <t>Additional calculations; self-referential; nur11.sas.dd: cream11d = "DAIRY - Cream"; NDB#: 01054 Cream, whipped, cream topping, pressurized</t>
  </si>
  <si>
    <t>dcreamwh</t>
  </si>
  <si>
    <t>milk, 1% milk</t>
  </si>
  <si>
    <t>1% milk</t>
  </si>
  <si>
    <t>Additional calculations; nur11.sas.dd: m1or211d = "DAIRY - 1% -2% milk"; NDB# 1083: "Milk, lowfat, fluid, 1% milkfat, with added nonfat milk solids, vitamin A and vitamin D"</t>
  </si>
  <si>
    <t>dm1</t>
  </si>
  <si>
    <t>milk, 2% milk</t>
  </si>
  <si>
    <t>2% milk</t>
  </si>
  <si>
    <t>Additional calculations; nur11.sas.dd: m1or211d = "DAIRY - 1% -2% milk"; NDB# 1079: Milk, reduced fat, fluid, 2% milkfat, with added vitamin A and vitamin D</t>
  </si>
  <si>
    <t>dm2</t>
  </si>
  <si>
    <t>milk, skim milk</t>
  </si>
  <si>
    <t>skim milk</t>
  </si>
  <si>
    <t>Additional calculations; nur11.sas.dd: skim11d = "DAIRY - Skim Milk"</t>
  </si>
  <si>
    <t>dms</t>
  </si>
  <si>
    <t>milk, whole milk</t>
  </si>
  <si>
    <t>Additional calculations; nur11.sas.dd: whole11d = "DAIRY - Whole milk"; Gidon MAD</t>
  </si>
  <si>
    <t>dmwh</t>
  </si>
  <si>
    <t>sour cream</t>
  </si>
  <si>
    <t>Additional calculations; self-referential; FFQ variable names joint.xlsx: between yogurt and cream cheese; NDB#: 01056 Cream, sour, cultured</t>
  </si>
  <si>
    <t>dsour</t>
  </si>
  <si>
    <t>whey, sweet whey, liquid</t>
  </si>
  <si>
    <t>sweet whey</t>
  </si>
  <si>
    <t>Additional calculations; NDB#: 01114 Whey, sweet, fluid</t>
  </si>
  <si>
    <t>dwheyl</t>
  </si>
  <si>
    <t>yogurt plain</t>
  </si>
  <si>
    <t>Additional calculations; nur11.sas.dd: plyog11d = "DAIRY - Yogurt-plain, lo-carb"</t>
  </si>
  <si>
    <t>dyog</t>
  </si>
  <si>
    <t>yogurt, Greek, plain, nonfat (&lt;1% fat)</t>
  </si>
  <si>
    <t>dyogg</t>
  </si>
  <si>
    <t>feta cheese, reduced fat</t>
  </si>
  <si>
    <t>dchfet</t>
  </si>
  <si>
    <t>parmesan cheese</t>
  </si>
  <si>
    <t>dchparm</t>
  </si>
  <si>
    <t>ricotta, skim</t>
  </si>
  <si>
    <t>dchricsk</t>
  </si>
  <si>
    <t>ricotta, whole</t>
  </si>
  <si>
    <t>dchricwh</t>
  </si>
  <si>
    <t>butter</t>
  </si>
  <si>
    <t>Additional calculations; nur11.sas.dd: but11d = "DAIRY - Pure Butter"; NDB# 01001 butter, salted</t>
  </si>
  <si>
    <t>dbutt</t>
  </si>
  <si>
    <t>cheese, cheddar cheese</t>
  </si>
  <si>
    <t>dchched</t>
  </si>
  <si>
    <t>cheese, mozzarella cheese</t>
  </si>
  <si>
    <t>Additional calculations; nur11.sas.dd: NDB#: 01029 Cheese, mozzarella, low moisture, part-skim</t>
  </si>
  <si>
    <t>dchmozz</t>
  </si>
  <si>
    <t>milk, milk powder</t>
  </si>
  <si>
    <t>milk powder</t>
  </si>
  <si>
    <t>Additional calculations; NDB# 01155: Milk, dry, nonfat, instant, without added vitamin A and vitamin D</t>
  </si>
  <si>
    <t>dmp</t>
  </si>
  <si>
    <t>whey, sweet whey, dried</t>
  </si>
  <si>
    <t>sweet whey dried</t>
  </si>
  <si>
    <t>Additional calculations; NDB# 01115: Whey, sweet, dried</t>
  </si>
  <si>
    <t>dwheyd</t>
  </si>
  <si>
    <t>egg</t>
  </si>
  <si>
    <t>eggs</t>
  </si>
  <si>
    <t>eggs, egg beaters, egg yolks, egg whites</t>
  </si>
  <si>
    <t>Gidon MAD; http://www.foodemissions.com/foodemissions/Calculator; additional calculations</t>
  </si>
  <si>
    <t>egg beaters</t>
  </si>
  <si>
    <t>eggb</t>
  </si>
  <si>
    <t>egg whites</t>
  </si>
  <si>
    <t>equals egg; Gidon MAD; http://www.foodemissions.com/foodemissions/Calculator; additional calculations</t>
  </si>
  <si>
    <t>eggwh</t>
  </si>
  <si>
    <t>egg yolks</t>
  </si>
  <si>
    <t>eggy</t>
  </si>
  <si>
    <t>arctic char, cooked</t>
  </si>
  <si>
    <t>seafood</t>
  </si>
  <si>
    <t>scharc</t>
  </si>
  <si>
    <t>salmon, farmed, cooked</t>
  </si>
  <si>
    <t>ssalmfc</t>
  </si>
  <si>
    <t>shrimp, cooked</t>
  </si>
  <si>
    <t>sshrimpc</t>
  </si>
  <si>
    <t>cod, cooked</t>
  </si>
  <si>
    <t>scodc</t>
  </si>
  <si>
    <t>salmon, wild, cooked</t>
  </si>
  <si>
    <t>ssalmwc</t>
  </si>
  <si>
    <t>tuna, canned tuna</t>
  </si>
  <si>
    <t>fish</t>
  </si>
  <si>
    <t>tuna</t>
  </si>
  <si>
    <t>Seafood sheet: Gephart: "Could argue marine wild capture to be zero"</t>
  </si>
  <si>
    <t>stunac</t>
  </si>
  <si>
    <t>oysters, raw</t>
  </si>
  <si>
    <t>oysters</t>
  </si>
  <si>
    <t>soysterr</t>
  </si>
  <si>
    <t>arctic char, raw</t>
  </si>
  <si>
    <t>scharr</t>
  </si>
  <si>
    <t>catfish, raw</t>
  </si>
  <si>
    <t>catfish</t>
  </si>
  <si>
    <t>Seafood sheet; Gidon correspondence</t>
  </si>
  <si>
    <t>scatr</t>
  </si>
  <si>
    <t>salmon, farmed, raw</t>
  </si>
  <si>
    <t>salmon</t>
  </si>
  <si>
    <t>Seafood sheet; Gephart, Gidon correspondence</t>
  </si>
  <si>
    <t>ssalmfrr</t>
  </si>
  <si>
    <t>shrimp, raw</t>
  </si>
  <si>
    <t>shrimp</t>
  </si>
  <si>
    <t>sshrimpr</t>
  </si>
  <si>
    <t>tilapia, raw</t>
  </si>
  <si>
    <t>tilapia</t>
  </si>
  <si>
    <t>stilapiar</t>
  </si>
  <si>
    <t>bluefish, raw</t>
  </si>
  <si>
    <t>miscellaneous fish</t>
  </si>
  <si>
    <t>Seafood sheet average</t>
  </si>
  <si>
    <t>sbluer</t>
  </si>
  <si>
    <t>clams, raw</t>
  </si>
  <si>
    <t>clams</t>
  </si>
  <si>
    <t>sclamr</t>
  </si>
  <si>
    <t>cod, raw</t>
  </si>
  <si>
    <t>cod</t>
  </si>
  <si>
    <t>scodr</t>
  </si>
  <si>
    <t>flatfish, raw</t>
  </si>
  <si>
    <t>flatfish</t>
  </si>
  <si>
    <t>sflatr</t>
  </si>
  <si>
    <t>haddock, raw</t>
  </si>
  <si>
    <t>haddock</t>
  </si>
  <si>
    <t>shaddr</t>
  </si>
  <si>
    <t>halibut, raw</t>
  </si>
  <si>
    <t>halibut</t>
  </si>
  <si>
    <t>shalir</t>
  </si>
  <si>
    <t>herring, raw</t>
  </si>
  <si>
    <t>sardine, herring</t>
  </si>
  <si>
    <t>Seafood sheet; Herring and Sardines are in thes same fish family</t>
  </si>
  <si>
    <t>sherrr</t>
  </si>
  <si>
    <t>pollock, raw</t>
  </si>
  <si>
    <t>pollock</t>
  </si>
  <si>
    <t>Seafood sheet; GIdon Correspondence</t>
  </si>
  <si>
    <t>spollr</t>
  </si>
  <si>
    <t>salmon, wild, raw</t>
  </si>
  <si>
    <t>ssalmwr</t>
  </si>
  <si>
    <t>sardines</t>
  </si>
  <si>
    <t>ssard</t>
  </si>
  <si>
    <t>swordfish, raw</t>
  </si>
  <si>
    <t>swordfish</t>
  </si>
  <si>
    <t>Seafood sheet</t>
  </si>
  <si>
    <t>sswordr</t>
  </si>
  <si>
    <t>tuna steak, raw</t>
  </si>
  <si>
    <t>stunasr</t>
  </si>
  <si>
    <t>blueberry</t>
  </si>
  <si>
    <t>fruit</t>
  </si>
  <si>
    <t>fblue</t>
  </si>
  <si>
    <t>cranberries</t>
  </si>
  <si>
    <t>cranberries; cranberry juice</t>
  </si>
  <si>
    <t>Gidon Correspondence and Additional Calculations sheet</t>
  </si>
  <si>
    <t>fcran</t>
  </si>
  <si>
    <t>raspberry</t>
  </si>
  <si>
    <t>Additional Calculations</t>
  </si>
  <si>
    <t>frasp</t>
  </si>
  <si>
    <t>strawberry</t>
  </si>
  <si>
    <t>fstraw</t>
  </si>
  <si>
    <t>grapefruit</t>
  </si>
  <si>
    <t>fgrft</t>
  </si>
  <si>
    <t>orange</t>
  </si>
  <si>
    <t>raw oranges</t>
  </si>
  <si>
    <t>for</t>
  </si>
  <si>
    <t>grapes, green seedless grapes</t>
  </si>
  <si>
    <t>grapes, red seedless grapes</t>
  </si>
  <si>
    <t>fgrapg</t>
  </si>
  <si>
    <t>Gidon MAD; additional calculations</t>
  </si>
  <si>
    <t>fgrapr</t>
  </si>
  <si>
    <t>grapes, red/green seedless grapes</t>
  </si>
  <si>
    <t>fgraprg</t>
  </si>
  <si>
    <t>cantaloupe</t>
  </si>
  <si>
    <t>cantelope</t>
  </si>
  <si>
    <t>fcant</t>
  </si>
  <si>
    <t>honeydew</t>
  </si>
  <si>
    <t>fhone</t>
  </si>
  <si>
    <t>watermelon</t>
  </si>
  <si>
    <t>fwaterm</t>
  </si>
  <si>
    <t>apple</t>
  </si>
  <si>
    <t>Gidon MAD, Additonal Calculations</t>
  </si>
  <si>
    <t>fapp</t>
  </si>
  <si>
    <t>pear</t>
  </si>
  <si>
    <t>fpear</t>
  </si>
  <si>
    <t>apricot, raw</t>
  </si>
  <si>
    <t>apricot</t>
  </si>
  <si>
    <t>fapri</t>
  </si>
  <si>
    <t>nectarine</t>
  </si>
  <si>
    <t>fnec</t>
  </si>
  <si>
    <t>peaches</t>
  </si>
  <si>
    <t>fpeach</t>
  </si>
  <si>
    <t>plum, fresh</t>
  </si>
  <si>
    <t>plums</t>
  </si>
  <si>
    <t>additional calculations (plum, prune, prune juice, canned prunes)</t>
  </si>
  <si>
    <t>fplum</t>
  </si>
  <si>
    <t>avocado</t>
  </si>
  <si>
    <t>Additional calculations; Gidon MAD; M&amp;H</t>
  </si>
  <si>
    <t>favo</t>
  </si>
  <si>
    <t>banana</t>
  </si>
  <si>
    <t>fban</t>
  </si>
  <si>
    <t>mango, raw</t>
  </si>
  <si>
    <t>fmanr</t>
  </si>
  <si>
    <t>pineapple</t>
  </si>
  <si>
    <t>fpine</t>
  </si>
  <si>
    <t>peaches, canned</t>
  </si>
  <si>
    <t>fpeachc</t>
  </si>
  <si>
    <t>plum, canned prunes</t>
  </si>
  <si>
    <t>canned prunes</t>
  </si>
  <si>
    <t>plums•2.282608696; Additional Calculations sheet; prune + 10%</t>
  </si>
  <si>
    <t>fplumc</t>
  </si>
  <si>
    <t>apple, dried</t>
  </si>
  <si>
    <t>dried apple</t>
  </si>
  <si>
    <t>fappd</t>
  </si>
  <si>
    <t>apricot, dried</t>
  </si>
  <si>
    <t>dried apricot</t>
  </si>
  <si>
    <t>faprid</t>
  </si>
  <si>
    <t>banana chips</t>
  </si>
  <si>
    <t>fbanc</t>
  </si>
  <si>
    <t>cranberries, dried</t>
  </si>
  <si>
    <t>dried cranberries</t>
  </si>
  <si>
    <t>fcrand</t>
  </si>
  <si>
    <t>grapes, raisins</t>
  </si>
  <si>
    <t>dried grape</t>
  </si>
  <si>
    <t>Grapes * 4.333333333 and M&amp;H; Gidon MAD; Additional Calculations</t>
  </si>
  <si>
    <t>fgraprais</t>
  </si>
  <si>
    <t>mango, dried</t>
  </si>
  <si>
    <t>fmand</t>
  </si>
  <si>
    <t>pear, dried</t>
  </si>
  <si>
    <t>dried pear</t>
  </si>
  <si>
    <t>fpeard</t>
  </si>
  <si>
    <t>plum, prune</t>
  </si>
  <si>
    <t>prune, dried plums</t>
  </si>
  <si>
    <t>plums•5.217391304; additional calculations (plum, prune, prune juice, canned prunes)</t>
  </si>
  <si>
    <t>fplump</t>
  </si>
  <si>
    <t>barley, malted barley flour</t>
  </si>
  <si>
    <t>grain</t>
  </si>
  <si>
    <t>grain refined barley</t>
  </si>
  <si>
    <t>barley</t>
  </si>
  <si>
    <t>hulled barley, pearled/cooked barley, malted barley flour</t>
  </si>
  <si>
    <t>gbarm</t>
  </si>
  <si>
    <t>barley, pearled and cooked</t>
  </si>
  <si>
    <t>grain refined cooked barley</t>
  </si>
  <si>
    <t>gbarp</t>
  </si>
  <si>
    <t>rice, white rice, cooked</t>
  </si>
  <si>
    <t>grain refined cooked rice</t>
  </si>
  <si>
    <t>white rice, white rice flour, puffed rice</t>
  </si>
  <si>
    <t>white rice/5.333138515 (caloric ratio); Gidon MAD; M&amp;H; Gummert; foodemissions; nur11.sas.dd: wrice11d = "BREADS - White Rice"</t>
  </si>
  <si>
    <t>gricewhc</t>
  </si>
  <si>
    <t>spaghetti, cooked</t>
  </si>
  <si>
    <t>grain refined cooked wheat</t>
  </si>
  <si>
    <t>gspagc</t>
  </si>
  <si>
    <t>corn flour</t>
  </si>
  <si>
    <t>grain refined corn</t>
  </si>
  <si>
    <t>corn, whole corn, whole grain corn, corn kernels, corn starch, corn flour, cornmeal</t>
  </si>
  <si>
    <t>Gidon correspondence "refers to corn kernels, corn flour, corn starch, cornmeal"; nur11.sas.dd: corn11d = "VEGETABLES - Corn"</t>
  </si>
  <si>
    <t>gcornf</t>
  </si>
  <si>
    <t>corn starch</t>
  </si>
  <si>
    <t>1.337349398*corn flour; Additional Calculations; Gidon MAD, M&amp;H, http://www.foodemissions.com/Calculator; Gidon Correspondence nur11.sas.dd: corn11d = "VEGETABLES - Corn"</t>
  </si>
  <si>
    <t>gcornst</t>
  </si>
  <si>
    <t>rice, puffed rice</t>
  </si>
  <si>
    <t>grain refined rice</t>
  </si>
  <si>
    <t>white rice/0.907960199 (caloric ratio); Gidon MAD; M&amp;H; Gummert; foodemissions; nur11.sas.dd: wrice11d = "BREADS - White Rice"</t>
  </si>
  <si>
    <t>gricepuff</t>
  </si>
  <si>
    <t>rice, white rice flour</t>
  </si>
  <si>
    <t>paddy rice/0.7; Gidon MAD; M&amp;H; Gummert; foodemissions; nur11.sas.dd: wrice11d = "BREADS - White Rice"</t>
  </si>
  <si>
    <t>gricewhf</t>
  </si>
  <si>
    <t>rice, white rice, raw</t>
  </si>
  <si>
    <t>gricewhr</t>
  </si>
  <si>
    <t>spaghetti, raw</t>
  </si>
  <si>
    <t>grain refined wheat</t>
  </si>
  <si>
    <t>wheat</t>
  </si>
  <si>
    <t>spaghetti</t>
  </si>
  <si>
    <t>gspag</t>
  </si>
  <si>
    <t>wheat, all-purpose flour</t>
  </si>
  <si>
    <t>whole wheat flour, wheat flour all-purpose, all-purpose flour, wheat kernels, cracked wheat, farina, flax</t>
  </si>
  <si>
    <t>gwhall</t>
  </si>
  <si>
    <t>wheat, flour all-purpose</t>
  </si>
  <si>
    <t>wheaties</t>
  </si>
  <si>
    <t>wheaties, wheat flour, all purpose flour</t>
  </si>
  <si>
    <t>gwheaties</t>
  </si>
  <si>
    <t>barley, hulled</t>
  </si>
  <si>
    <t>grain whole barley</t>
  </si>
  <si>
    <t>gbarh</t>
  </si>
  <si>
    <t>oat, cooked oats</t>
  </si>
  <si>
    <t>grain whole cooked oat</t>
  </si>
  <si>
    <t>oat</t>
  </si>
  <si>
    <t>cooked oats</t>
  </si>
  <si>
    <t>goatc</t>
  </si>
  <si>
    <t>rice, brown rice cooked</t>
  </si>
  <si>
    <t>grain whole cooked rice</t>
  </si>
  <si>
    <t>brown rice, brown rice flour</t>
  </si>
  <si>
    <t>brown rice/2.983739837 (caloric ratio); Gidon MAD; M&amp;H; Gummert; foodemissions; nur11.sas.dd: wrice11d = "BREADS - White Rice"</t>
  </si>
  <si>
    <t>gricebrc</t>
  </si>
  <si>
    <t>farina, cooked</t>
  </si>
  <si>
    <t>grain whole cooked wheat</t>
  </si>
  <si>
    <t>gfarinac</t>
  </si>
  <si>
    <t>corn bran</t>
  </si>
  <si>
    <t>grain whole corn</t>
  </si>
  <si>
    <t>0.05*corn flour; Additional Calculations; Gidon MAD, M&amp;H, http://www.foodemissions.com/Calculator; Gidon Correspondence nur11.sas.dd: corn11d = "VEGETABLES - Corn"</t>
  </si>
  <si>
    <t>gcornb</t>
  </si>
  <si>
    <t>corn kernels, dry (whole grain)</t>
  </si>
  <si>
    <t>0.8674698795*corn flour; Additional Calculations; Gidon MAD, M&amp;H, http://www.foodemissions.com/Calculator; Gidon Correspondence nur11.sas.dd: corn11d = "VEGETABLES - Corn"</t>
  </si>
  <si>
    <t>gcornk</t>
  </si>
  <si>
    <t>corn, sweet, yellow, frozen, kernels cut off cob, boiled, drained, without salt</t>
  </si>
  <si>
    <t>fresh/raw corn</t>
  </si>
  <si>
    <t>gcornsweet</t>
  </si>
  <si>
    <t>cornmeal</t>
  </si>
  <si>
    <t>gcornm</t>
  </si>
  <si>
    <t>flax</t>
  </si>
  <si>
    <t>grain whole flax</t>
  </si>
  <si>
    <t>gflax</t>
  </si>
  <si>
    <t>grain whole oat</t>
  </si>
  <si>
    <t>oats, rolled oats, quick oats, steel-cut oats</t>
  </si>
  <si>
    <t>goat</t>
  </si>
  <si>
    <t>oat, bran</t>
  </si>
  <si>
    <t>oat germ, oat bran, oat fiber</t>
  </si>
  <si>
    <t>5% oats (Gidon correspondence); Additional Calculations; Gidon MAD, M&amp;H, http://www.foodemissions.com/Calculator</t>
  </si>
  <si>
    <t>goatb</t>
  </si>
  <si>
    <t>oat, fiber</t>
  </si>
  <si>
    <t>goatf</t>
  </si>
  <si>
    <t>rice, bran</t>
  </si>
  <si>
    <t>grain whole rice</t>
  </si>
  <si>
    <t>rice bran</t>
  </si>
  <si>
    <t>brown rice, brown rice flour, rice bran, white rice, white rice flour</t>
  </si>
  <si>
    <t>paddy rice*0.05; Gidon MAD; M&amp;H; Gummert; foodemissions; nur11.sas.dd: wrice11d = "BREADS - White Rice"</t>
  </si>
  <si>
    <t>griceb</t>
  </si>
  <si>
    <t>rice, brown rice raw</t>
  </si>
  <si>
    <t>paddy rice/0.8; Gidon MAD; M&amp;H; Gummert; foodemissions; nur11.sas.dd: wrice11d = "BREADS - White Rice"</t>
  </si>
  <si>
    <t>gricebr</t>
  </si>
  <si>
    <t>rye</t>
  </si>
  <si>
    <t>grain whole rye</t>
  </si>
  <si>
    <t>FFQ variable names joint.xlsx description: "rye"</t>
  </si>
  <si>
    <t>grye</t>
  </si>
  <si>
    <t>sesame</t>
  </si>
  <si>
    <t>grain whole sesame</t>
  </si>
  <si>
    <t>sesame, flax, wheat</t>
  </si>
  <si>
    <t>gses</t>
  </si>
  <si>
    <t>bran</t>
  </si>
  <si>
    <t>grain whole wheat</t>
  </si>
  <si>
    <t>gbran</t>
  </si>
  <si>
    <t>bulgur</t>
  </si>
  <si>
    <t>barley, spelt</t>
  </si>
  <si>
    <t>Same as wheat</t>
  </si>
  <si>
    <t>gbulg</t>
  </si>
  <si>
    <t>farina, raw</t>
  </si>
  <si>
    <t>gfarina</t>
  </si>
  <si>
    <t>germ</t>
  </si>
  <si>
    <t>germ, wheat germ</t>
  </si>
  <si>
    <t>gwhgerm</t>
  </si>
  <si>
    <t>gluten</t>
  </si>
  <si>
    <t>gluten, wheat gluten</t>
  </si>
  <si>
    <t>gwhglut</t>
  </si>
  <si>
    <t>wheat, flour, whole wheat</t>
  </si>
  <si>
    <t>gwhwh</t>
  </si>
  <si>
    <t>wheat, germ</t>
  </si>
  <si>
    <t>wheat, gluten</t>
  </si>
  <si>
    <t>wheat, farro</t>
  </si>
  <si>
    <t>gwhfar</t>
  </si>
  <si>
    <t>black beans, boiled, unsalted</t>
  </si>
  <si>
    <t>legume</t>
  </si>
  <si>
    <t>beans</t>
  </si>
  <si>
    <t>black beans</t>
  </si>
  <si>
    <t>lblackb</t>
  </si>
  <si>
    <t>kidney beans, boiled, unsalted</t>
  </si>
  <si>
    <t>kidney beans</t>
  </si>
  <si>
    <t>lkidneyb</t>
  </si>
  <si>
    <t>lentils</t>
  </si>
  <si>
    <t>llent</t>
  </si>
  <si>
    <t>lima beans, boiled, drained, unsalted</t>
  </si>
  <si>
    <t>lima beans</t>
  </si>
  <si>
    <t>llima</t>
  </si>
  <si>
    <t>navy beans, canned</t>
  </si>
  <si>
    <t>navy beans</t>
  </si>
  <si>
    <t>lnavyc</t>
  </si>
  <si>
    <t>chickpeas (garbanzo bean), cooked, canned</t>
  </si>
  <si>
    <t>lchicc</t>
  </si>
  <si>
    <t>peanut</t>
  </si>
  <si>
    <t>FFQ variable names joint.xlsx; nur11.sas.dd: pnut11d = "SWEETS - Peanuts"</t>
  </si>
  <si>
    <t>lpeanut</t>
  </si>
  <si>
    <t>FFQ variable names joint.xlsx description: "peas"; NHS2-2011: "Peas or lima beans (1/2 cup fresh, frz., canned) or soup" and "BOILED, DRAINED, UNSALTED GREEN PEAS"</t>
  </si>
  <si>
    <t>lpea</t>
  </si>
  <si>
    <t>soy isolate</t>
  </si>
  <si>
    <t>soybeans; soybean flour; soy isolate; soy protein isolate</t>
  </si>
  <si>
    <t>soybean flour / 92%</t>
  </si>
  <si>
    <t>lsoyi</t>
  </si>
  <si>
    <t>soybean flour</t>
  </si>
  <si>
    <t>soybeans; soybean flour; soy isolate</t>
  </si>
  <si>
    <t>Additional Calculations; Gidon MAD; M&amp;H; food emissions calculator</t>
  </si>
  <si>
    <t>lsoyf</t>
  </si>
  <si>
    <t>soybeans</t>
  </si>
  <si>
    <t>Land/NR: MAD = reference document; NDB# 11451: Soybeans, green, cooked, boiled, drained, without salt</t>
  </si>
  <si>
    <t>lsoy</t>
  </si>
  <si>
    <t>ltofu</t>
  </si>
  <si>
    <t>almond butter</t>
  </si>
  <si>
    <t>nut</t>
  </si>
  <si>
    <t>same as almonds; Gidon Correspondence</t>
  </si>
  <si>
    <t>nalmb</t>
  </si>
  <si>
    <t>almonds</t>
  </si>
  <si>
    <t>nalm</t>
  </si>
  <si>
    <t>cashew</t>
  </si>
  <si>
    <t>ncash</t>
  </si>
  <si>
    <t>filbert / hazelnut</t>
  </si>
  <si>
    <t>nfil</t>
  </si>
  <si>
    <t>pecans</t>
  </si>
  <si>
    <t>npec</t>
  </si>
  <si>
    <t>pistachio</t>
  </si>
  <si>
    <t>npist</t>
  </si>
  <si>
    <t>walnut</t>
  </si>
  <si>
    <t>nwal</t>
  </si>
  <si>
    <t>coconut oil</t>
  </si>
  <si>
    <t>oil</t>
  </si>
  <si>
    <t>ococo</t>
  </si>
  <si>
    <t>corn oil</t>
  </si>
  <si>
    <t>corn oil, corn syrup, light corn syrup</t>
  </si>
  <si>
    <t>nur11.sas.dd: crnct11d = "Corn Oil"; GIdon Correspondence; Additional Calculations</t>
  </si>
  <si>
    <t>ocorn</t>
  </si>
  <si>
    <t>cottonseed oil</t>
  </si>
  <si>
    <t>ocott</t>
  </si>
  <si>
    <t>olive oil; GIdon Correspondence</t>
  </si>
  <si>
    <t>FFQ item: ooil11d, OIL,OLIVE,SALAD OR COOKING; GIdon Correspondence; Additional Calculations</t>
  </si>
  <si>
    <t>oolive</t>
  </si>
  <si>
    <t>peanut oil</t>
  </si>
  <si>
    <t>FFQ variable name: pn</t>
  </si>
  <si>
    <t>opea</t>
  </si>
  <si>
    <t>rapseed</t>
  </si>
  <si>
    <t>canola oil, rapeseed</t>
  </si>
  <si>
    <t>orape</t>
  </si>
  <si>
    <t>sunflower oil</t>
  </si>
  <si>
    <t>osun</t>
  </si>
  <si>
    <t>palm kernel oils</t>
  </si>
  <si>
    <t>oil margarine</t>
  </si>
  <si>
    <t>palm</t>
  </si>
  <si>
    <t>GIdon Correspondence; Additional Calculations</t>
  </si>
  <si>
    <t>opalmk</t>
  </si>
  <si>
    <t>palm oil</t>
  </si>
  <si>
    <t>palm oil, partially/fully hydrogenated palm oil, palm oil shortening, fractionated palm oil</t>
  </si>
  <si>
    <t>opalm</t>
  </si>
  <si>
    <t>palm oil shortening</t>
  </si>
  <si>
    <t>opalms</t>
  </si>
  <si>
    <t>palm oil, fractionated</t>
  </si>
  <si>
    <t>opalmf</t>
  </si>
  <si>
    <t>palm oil, fully hydrogenated</t>
  </si>
  <si>
    <t>opalmfh</t>
  </si>
  <si>
    <t>palm oil, partially hydrogenated</t>
  </si>
  <si>
    <t>opalmph</t>
  </si>
  <si>
    <t>soy lecithin</t>
  </si>
  <si>
    <t>soybean oil; soybean oil, fully hydrogenated; soybean oil, partially hydrogenated; soybean oil, interesterified; soy lecithin</t>
  </si>
  <si>
    <t>nur11.sas.dd: "soyct11d" = "Soybean Oil"; Gidon Correspondence: effects of processing methods negligable</t>
  </si>
  <si>
    <t>osoyl</t>
  </si>
  <si>
    <t>osoy</t>
  </si>
  <si>
    <t>soybean oil, fully hydrogenated</t>
  </si>
  <si>
    <t>osoyfh</t>
  </si>
  <si>
    <t>soybean oil, interesterified</t>
  </si>
  <si>
    <t>osoyi</t>
  </si>
  <si>
    <t>soybean oil, partially hydrogenated</t>
  </si>
  <si>
    <t>osoyph</t>
  </si>
  <si>
    <t>chicory root</t>
  </si>
  <si>
    <t>condiment/additive/etc</t>
  </si>
  <si>
    <t>other foods</t>
  </si>
  <si>
    <t>cchic</t>
  </si>
  <si>
    <t>cinnamon</t>
  </si>
  <si>
    <t>ccinn</t>
  </si>
  <si>
    <t>dates</t>
  </si>
  <si>
    <t>cdate</t>
  </si>
  <si>
    <t>guar gum</t>
  </si>
  <si>
    <t>cguar</t>
  </si>
  <si>
    <t>MSG</t>
  </si>
  <si>
    <t>cmsg</t>
  </si>
  <si>
    <t>(assumption for DIEM)</t>
  </si>
  <si>
    <t>psyllium</t>
  </si>
  <si>
    <t>cpsyll</t>
  </si>
  <si>
    <t>sunflower seed</t>
  </si>
  <si>
    <t>csunf</t>
  </si>
  <si>
    <t>sunflowerseed</t>
  </si>
  <si>
    <t>salt</t>
  </si>
  <si>
    <t>FFQ variable names joint.xlsx: "salt"</t>
  </si>
  <si>
    <t>csalt</t>
  </si>
  <si>
    <t>vanilla extract</t>
  </si>
  <si>
    <t>cvan</t>
  </si>
  <si>
    <t>(DIEM)</t>
  </si>
  <si>
    <t>vinegar, balsamic</t>
  </si>
  <si>
    <t>cvinb</t>
  </si>
  <si>
    <t>vinegar, red</t>
  </si>
  <si>
    <t>cvinr</t>
  </si>
  <si>
    <t>vinegar, white</t>
  </si>
  <si>
    <t>cvinw</t>
  </si>
  <si>
    <t>yeast</t>
  </si>
  <si>
    <t>negligible</t>
  </si>
  <si>
    <t>cyeast</t>
  </si>
  <si>
    <t>mustard seed</t>
  </si>
  <si>
    <t>cmusts</t>
  </si>
  <si>
    <t>chicken liver</t>
  </si>
  <si>
    <t>pchixl</t>
  </si>
  <si>
    <t>chicken meat and skin</t>
  </si>
  <si>
    <t>pchixms</t>
  </si>
  <si>
    <t>chicken meat only</t>
  </si>
  <si>
    <t>pchixm</t>
  </si>
  <si>
    <t>turkey (whole, breast, ground)</t>
  </si>
  <si>
    <t>turkey</t>
  </si>
  <si>
    <t>Gidon Correspondence</t>
  </si>
  <si>
    <t>pturk</t>
  </si>
  <si>
    <t>turkey bacon</t>
  </si>
  <si>
    <t>pturkb</t>
  </si>
  <si>
    <t>bacon</t>
  </si>
  <si>
    <t>red and processed meat</t>
  </si>
  <si>
    <t>processed meat</t>
  </si>
  <si>
    <t>ham, bacon, pork</t>
  </si>
  <si>
    <t>rbac</t>
  </si>
  <si>
    <t>beef and pork bologne</t>
  </si>
  <si>
    <t>Additional calculations; Gidon correspondence: average of beef and pork</t>
  </si>
  <si>
    <t>rbolo</t>
  </si>
  <si>
    <t>beef and pork sausage</t>
  </si>
  <si>
    <t>rsaus</t>
  </si>
  <si>
    <t>beef hamburger 80%</t>
  </si>
  <si>
    <t>beef</t>
  </si>
  <si>
    <t>beef, beef liver</t>
  </si>
  <si>
    <t>Additional calculations; Based on Gidon's calculations in http://www.pnas.org/content/111/33/11996#abstract-2</t>
  </si>
  <si>
    <t>rhamb80</t>
  </si>
  <si>
    <t>beef hot dog 75%</t>
  </si>
  <si>
    <t>rhotd75</t>
  </si>
  <si>
    <t>beef hot dog 80%</t>
  </si>
  <si>
    <t>rhotd80</t>
  </si>
  <si>
    <t>beef liver</t>
  </si>
  <si>
    <t>rbfliv</t>
  </si>
  <si>
    <t>beef top sirloin</t>
  </si>
  <si>
    <t>rbfs</t>
  </si>
  <si>
    <t>roast beef, rib, visible fat eaten</t>
  </si>
  <si>
    <t>rrib</t>
  </si>
  <si>
    <t>steak - beef, t-bone, visible fat eaten</t>
  </si>
  <si>
    <t>rtbo</t>
  </si>
  <si>
    <t>steak - beef, skirt or plate, visible fat eaten</t>
  </si>
  <si>
    <t>rski</t>
  </si>
  <si>
    <t>steak - beef, tenderloin or filet mignon, visible fat eaten</t>
  </si>
  <si>
    <t>rten</t>
  </si>
  <si>
    <t>beef, cubed, chuck, no visible fat</t>
  </si>
  <si>
    <t>rchu</t>
  </si>
  <si>
    <t>hamburger beef 10% fat</t>
  </si>
  <si>
    <t>rhamb90</t>
  </si>
  <si>
    <t>beef hamburger 35% fat</t>
  </si>
  <si>
    <t>rhamb65</t>
  </si>
  <si>
    <t>ham</t>
  </si>
  <si>
    <t>rham</t>
  </si>
  <si>
    <t>pork main</t>
  </si>
  <si>
    <t>pork</t>
  </si>
  <si>
    <t>pork main dish, pork</t>
  </si>
  <si>
    <t>rpork</t>
  </si>
  <si>
    <t>pork, ground</t>
  </si>
  <si>
    <t>rporkg</t>
  </si>
  <si>
    <t>sausage, pork, breakfast or brown and serve</t>
  </si>
  <si>
    <t>rsausp</t>
  </si>
  <si>
    <t>chocolate</t>
  </si>
  <si>
    <t>sweet</t>
  </si>
  <si>
    <t>milk chocolate, chocolate, chocolate candies, milk chocolate bar</t>
  </si>
  <si>
    <t>same as cocoa; Additional calculations; Gidon Correspondence; FFQ variable names joint.xlsx: "choc bars, milk", "dark and milk chocolate practically the same kcal/100g", choco, mchoc &amp; dchoc same env. att.</t>
  </si>
  <si>
    <t>swchoc</t>
  </si>
  <si>
    <t>chocolate candies</t>
  </si>
  <si>
    <t>swchocc</t>
  </si>
  <si>
    <t>chocolate, dark chocolate bar</t>
  </si>
  <si>
    <t>dark chocolate</t>
  </si>
  <si>
    <t>swchocdc</t>
  </si>
  <si>
    <t>chocolate, milk chocolate</t>
  </si>
  <si>
    <t>swchocmc</t>
  </si>
  <si>
    <t>chocolate, milk chocolate bar</t>
  </si>
  <si>
    <t>swchocmcb</t>
  </si>
  <si>
    <t>chocolate, unsweetened baking chocolate</t>
  </si>
  <si>
    <t>cocoa, cacao, unsweetened baking chocolate, cocoa powder</t>
  </si>
  <si>
    <t>swchocun</t>
  </si>
  <si>
    <t>cocoa</t>
  </si>
  <si>
    <t>Additional calculations; Gidon Correspondence; FFQ variable names joint.xlsx: "choc bars, milk", "dark and milk chocolate practically the same kcal/100g", choco, mchoc &amp; dchoc same env. att.</t>
  </si>
  <si>
    <t>swcoc</t>
  </si>
  <si>
    <t>cocoa butter</t>
  </si>
  <si>
    <t>swcocb</t>
  </si>
  <si>
    <t>cocoa powder</t>
  </si>
  <si>
    <t>swcocp</t>
  </si>
  <si>
    <t>corn syrup</t>
  </si>
  <si>
    <t>corn oil, corn syrup, light corn syrup, high fructose corn syrup</t>
  </si>
  <si>
    <t>1.681681682*corn kernels; Additional Calculations; Gidon MAD, M&amp;H, http://www.foodemissions.com/Calculator; Gidon Correspondence nur11.sas.dd: corn11d = "VEGETABLES - Corn"</t>
  </si>
  <si>
    <t>swcorn</t>
  </si>
  <si>
    <t>corn syrup, high fructose corn syrup</t>
  </si>
  <si>
    <t>swhfcs</t>
  </si>
  <si>
    <t>corn syrup, light corn syrup</t>
  </si>
  <si>
    <t>swlcs</t>
  </si>
  <si>
    <t>honey</t>
  </si>
  <si>
    <t>Gidon Correspondence: negligible</t>
  </si>
  <si>
    <t>swhon</t>
  </si>
  <si>
    <t>molasses</t>
  </si>
  <si>
    <t>sugar</t>
  </si>
  <si>
    <t>swmol</t>
  </si>
  <si>
    <t>popcorn, air popped</t>
  </si>
  <si>
    <t>air-popped popcorn</t>
  </si>
  <si>
    <t>FFQ variable names joint.xlsx: "Scaled by caloric ratio between popcorn and corn (1:4.5)"; nur11.sas.dd: popc11d = "SWEETS - Popcorn: Regular"</t>
  </si>
  <si>
    <t>swcornp</t>
  </si>
  <si>
    <t>maple syrup</t>
  </si>
  <si>
    <t>swmap</t>
  </si>
  <si>
    <t>splenda</t>
  </si>
  <si>
    <t>diet soda, splenda</t>
  </si>
  <si>
    <t>swsplen</t>
  </si>
  <si>
    <t>white sugar, turbinado, powdered sugar, cane sugar, brown sugar</t>
  </si>
  <si>
    <t>swsug</t>
  </si>
  <si>
    <t>sugar, brown sugar</t>
  </si>
  <si>
    <t>swsugb</t>
  </si>
  <si>
    <t>sugar, cane sugar</t>
  </si>
  <si>
    <t>swsugc</t>
  </si>
  <si>
    <t>sugar, white sugar</t>
  </si>
  <si>
    <t>swsugw</t>
  </si>
  <si>
    <t>potato</t>
  </si>
  <si>
    <t>vegetable</t>
  </si>
  <si>
    <t>vegetable potato</t>
  </si>
  <si>
    <t>potato, microwaved potato</t>
  </si>
  <si>
    <t>Additional Calculations; Gidon MAD; M&amp;H; foodemissions.com;FFQ variable names joint.xlsx description: "potatoes, mashed or baked" &lt;https://docs.google.com/spreadsheets/d/1BbCL2gri47aPSb-v94zeByl8WBLT57MgapxjyGb_fLA/edit#gid=1214142331&gt;</t>
  </si>
  <si>
    <t>vpot</t>
  </si>
  <si>
    <t>vpotm</t>
  </si>
  <si>
    <t>vegetables</t>
  </si>
  <si>
    <t>coliv</t>
  </si>
  <si>
    <t>broccoli</t>
  </si>
  <si>
    <t>Additional Calculations; Gidon MAD; M&amp;H; foodemissions.com</t>
  </si>
  <si>
    <t>vbroc</t>
  </si>
  <si>
    <t>brussels sprouts</t>
  </si>
  <si>
    <t>brassica</t>
  </si>
  <si>
    <t>vbrus</t>
  </si>
  <si>
    <t>cabbage</t>
  </si>
  <si>
    <t>vcab</t>
  </si>
  <si>
    <t>carrot, carrot juice</t>
  </si>
  <si>
    <t>addtional calculations; nur11.sas.dd: rcar11d = "VEGETABLES - Carrots Raw"</t>
  </si>
  <si>
    <t>vcar</t>
  </si>
  <si>
    <t>carrot, cooked carrot</t>
  </si>
  <si>
    <t>Additional Calculations (scaled by caloric ratio of raw carrots to cooked carrots); nur11.sas.dd: rcar11d = "VEGETABLES - Carrots Raw"</t>
  </si>
  <si>
    <t>vcarc</t>
  </si>
  <si>
    <t>cauliflower</t>
  </si>
  <si>
    <t>vcaul</t>
  </si>
  <si>
    <t>celery</t>
  </si>
  <si>
    <t>mixed vegetable</t>
  </si>
  <si>
    <t>MAD &amp; FFQ variable names joint.xlsx description: "cel"</t>
  </si>
  <si>
    <t>vcel</t>
  </si>
  <si>
    <t>cucumber</t>
  </si>
  <si>
    <t>vcuc</t>
  </si>
  <si>
    <t>garlic</t>
  </si>
  <si>
    <t>onion, garlic powder</t>
  </si>
  <si>
    <t>vgar</t>
  </si>
  <si>
    <t>garlic powder</t>
  </si>
  <si>
    <t>onion, garlic</t>
  </si>
  <si>
    <t>vgarp</t>
  </si>
  <si>
    <t>green bean</t>
  </si>
  <si>
    <t>nur11.sas.dd: sbean11d = "VEGETABLES - String Beans"</t>
  </si>
  <si>
    <t>vgbean</t>
  </si>
  <si>
    <t>kale</t>
  </si>
  <si>
    <t>kale, mustard greens</t>
  </si>
  <si>
    <t>Gidon Correspondence; FFQ variable names joint.xlsx works cited: "use average values of other greens (spinach, lettuce)"</t>
  </si>
  <si>
    <t>vkale</t>
  </si>
  <si>
    <t>lettuce, iceberg</t>
  </si>
  <si>
    <t>lettuce</t>
  </si>
  <si>
    <t>iceberg lettuce, romaine lettuce</t>
  </si>
  <si>
    <t>FFQ variable names joint.xlsx: "ilett"</t>
  </si>
  <si>
    <t>vletti</t>
  </si>
  <si>
    <t>lettuce, romaine</t>
  </si>
  <si>
    <t>FFQ variable names joint.xlsx: "rlett"</t>
  </si>
  <si>
    <t>vlettr</t>
  </si>
  <si>
    <t>mushroom, raw</t>
  </si>
  <si>
    <t>FFQ variable name...; Additional calculations for blue water needs</t>
  </si>
  <si>
    <t>vmush</t>
  </si>
  <si>
    <t>mushroom, cooked</t>
  </si>
  <si>
    <t>vmushc</t>
  </si>
  <si>
    <t>mustard greens</t>
  </si>
  <si>
    <t>vmust</t>
  </si>
  <si>
    <t>onion, raw</t>
  </si>
  <si>
    <t>onion</t>
  </si>
  <si>
    <t>von</t>
  </si>
  <si>
    <t>onion, cooked</t>
  </si>
  <si>
    <t>vonc</t>
  </si>
  <si>
    <t>peppers, green peppers</t>
  </si>
  <si>
    <t>mixed vegetables, pepper</t>
  </si>
  <si>
    <t>green peppers, red peppers, hot peppers</t>
  </si>
  <si>
    <t>Gidon Correspondence: all peppers equal; nur11.sas.dd: grpep11d = "VEGETABLES - Green or Red Peppers"</t>
  </si>
  <si>
    <t>vpeppg</t>
  </si>
  <si>
    <t>peppers, hot peppers, raw</t>
  </si>
  <si>
    <t>vpepph</t>
  </si>
  <si>
    <t>peppers, red peppers</t>
  </si>
  <si>
    <t>vpeppr</t>
  </si>
  <si>
    <t>peppers, green and red, cooked</t>
  </si>
  <si>
    <t>vpeppc</t>
  </si>
  <si>
    <t>spinach, raw and boiled</t>
  </si>
  <si>
    <t>raw spinach, boiled spinach</t>
  </si>
  <si>
    <t>vspin</t>
  </si>
  <si>
    <t>squash, summer squash, cooked</t>
  </si>
  <si>
    <t>vsqus</t>
  </si>
  <si>
    <t>squash, winter squash, cooked</t>
  </si>
  <si>
    <t>nur11.sas.dd: osqua11d = "VEGETABLES - Orange Winter Squash"</t>
  </si>
  <si>
    <t>vsquw</t>
  </si>
  <si>
    <t>sweet potato</t>
  </si>
  <si>
    <t>sweet potato; yam</t>
  </si>
  <si>
    <t>MAD &amp; FFQ variable..</t>
  </si>
  <si>
    <t>vswtpot</t>
  </si>
  <si>
    <t>tomato, raw</t>
  </si>
  <si>
    <t>vtom</t>
  </si>
  <si>
    <t>tomato, canned</t>
  </si>
  <si>
    <t>vtomc</t>
  </si>
  <si>
    <t>tomato paste</t>
  </si>
  <si>
    <t>Additional Calculations; Gidon MAD; M&amp;H; foodemissions.com; nur11.sas.dd: tom11d = "VEGETABLES - Tomatoes (L26)" tomatoes, reduced; nur11.sas.dd: tom11d = "VEGETABLES - Tomatoes (L26)"</t>
  </si>
  <si>
    <t>vtomp</t>
  </si>
  <si>
    <t>celery, dried</t>
  </si>
  <si>
    <t>vceld</t>
  </si>
  <si>
    <t>parsley, dried parsley</t>
  </si>
  <si>
    <t>raw spinach, boiled spinach, parsley</t>
  </si>
  <si>
    <t>derived from spinach; FFQ variable name: parsley; Additional calculations for dried</t>
  </si>
  <si>
    <t>vparsd</t>
  </si>
  <si>
    <t>peppers, cayenne, dried</t>
  </si>
  <si>
    <t>vpeppcd</t>
  </si>
  <si>
    <r>
      <rPr>
        <b/>
        <sz val="10"/>
        <color theme="1"/>
        <rFont val="arial,sans,sans-serif"/>
      </rPr>
      <t xml:space="preserve">Lancet food group
</t>
    </r>
    <r>
      <rPr>
        <i/>
        <sz val="10"/>
        <color theme="1"/>
        <rFont val="arial,sans,sans-serif"/>
      </rPr>
      <t>(if in italics, not identified as a food group in the Lancet paper)</t>
    </r>
  </si>
  <si>
    <t xml:space="preserve">pineapple juice, canned unsweetened </t>
  </si>
  <si>
    <t>Additional calculations; NDB#: 01088        Milk, buttermilk, fluid, cultured, lowfat</t>
  </si>
  <si>
    <t>Additional calculations; nur11.sas.dd: chreg11d  = "Type of Cheese Usually Used - Regular"; FFQ variable names joint.xlsx description = "type regular cheese"; NDB # 1009 , cheddar cheese; Gidon Correspondence</t>
  </si>
  <si>
    <t>nur11.sas.dd: blueb11d  = "FRUITS - Blueberries"</t>
  </si>
  <si>
    <t xml:space="preserve">watermelon </t>
  </si>
  <si>
    <t>nur11.sas.dd: ban11d  = "FRUITS - Bananas"</t>
  </si>
  <si>
    <t xml:space="preserve">Additional calculations </t>
  </si>
  <si>
    <t>Additional Calculations; Gidon MAD, M&amp;H, http://www.foodemissions.com/Calculator; Gidon Correspondence  nur11.sas.dd: corn11d = "VEGETABLES - Corn"</t>
  </si>
  <si>
    <t xml:space="preserve">Additional calculations; Gidon Correspondence; nur11.sas.dd: sugar11d = "Sugar in Teaspoons" </t>
  </si>
  <si>
    <t>Additional Calculations; Gidon MAD; M&amp;H;  foodemissions.com; FFQ variable names joint.xlsx: "cauli"</t>
  </si>
  <si>
    <t>food groups</t>
  </si>
  <si>
    <t>https://www.sciencedirect.com/science/article/pii/S0022316622110011?via%3Dihub#appsec1</t>
  </si>
  <si>
    <t> Milk drinks</t>
  </si>
  <si>
    <t> Desserts</t>
  </si>
  <si>
    <t> French fries and other potatoe products</t>
  </si>
  <si>
    <t> Other ultraprocessed foods</t>
  </si>
  <si>
    <t>Nondisaggregated mixed dishes (without a Nova assignation)</t>
  </si>
  <si>
    <t> Fruit drinks</t>
  </si>
  <si>
    <t> Breads</t>
  </si>
  <si>
    <t> Other processed foods</t>
  </si>
  <si>
    <t> Other processed culinary ingredients</t>
  </si>
  <si>
    <t> Animal fats</t>
  </si>
  <si>
    <t> Table sugar</t>
  </si>
  <si>
    <t> Other unprocessed or minimally processed foods</t>
  </si>
  <si>
    <t> Fruit</t>
  </si>
  <si>
    <t>Including soy products such as meatless patties and fish sticks; dips, spreads, mustard, and catsup; margarine; sugar substitutes, sweeteners, and all syrups (excluding 100% maple syrup); distilled alcoholic drinks; infant formula.</t>
  </si>
  <si>
    <t>See decision E in Table 2. SR code, standard reference code or ingredient code from the USDA National Nutrient Database for Standard Reference.</t>
  </si>
  <si>
    <t>n</t>
  </si>
  <si>
    <t>Values presented are Mean (SE).</t>
  </si>
  <si>
    <t>EM</t>
  </si>
  <si>
    <t>CALORIES</t>
  </si>
  <si>
    <t>PROTEIN</t>
  </si>
  <si>
    <t>FAT</t>
  </si>
  <si>
    <t>ITEM</t>
  </si>
  <si>
    <t>CEREALS AND PRODUCTS</t>
  </si>
  <si>
    <t>QUINOA</t>
  </si>
  <si>
    <t>WHEAT</t>
  </si>
  <si>
    <t>FONIO</t>
  </si>
  <si>
    <t>FLOUR OF WHEAT</t>
  </si>
  <si>
    <t>FLOUR OF FONIO</t>
  </si>
  <si>
    <t>BRAN OF WHEAT</t>
  </si>
  <si>
    <t>TRITICALE</t>
  </si>
  <si>
    <t>MACARONI</t>
  </si>
  <si>
    <t>FLOUR OF TRITICALE</t>
  </si>
  <si>
    <t>GERM OF WHEAT</t>
  </si>
  <si>
    <t>CANARY SEED</t>
  </si>
  <si>
    <t>BREAD</t>
  </si>
  <si>
    <t>MIXED GRAIN</t>
  </si>
  <si>
    <t>BULGUR WHOLEMEAL</t>
  </si>
  <si>
    <t>FLOUR OF MIXED GRAIN</t>
  </si>
  <si>
    <t>PASTRY</t>
  </si>
  <si>
    <t>CEREALS NES</t>
  </si>
  <si>
    <t>WHEAT STARCH</t>
  </si>
  <si>
    <t>WAFERS</t>
  </si>
  <si>
    <t>WHEAT GLUTEN</t>
  </si>
  <si>
    <t>FLOUR OF CEREALS</t>
  </si>
  <si>
    <t>RICE PADDY</t>
  </si>
  <si>
    <t>BREAKFAST CEREALS</t>
  </si>
  <si>
    <t>RICE HUSKED</t>
  </si>
  <si>
    <t>CEREALS PREPARED NES</t>
  </si>
  <si>
    <t>RICE MILLED</t>
  </si>
  <si>
    <t>MIXES AND DOUGHS</t>
  </si>
  <si>
    <t>RICE BROKEN</t>
  </si>
  <si>
    <t>FOOD PREPARATIONS FLOUR</t>
  </si>
  <si>
    <t>RICE FLOUR</t>
  </si>
  <si>
    <t>RICE GLUTEN</t>
  </si>
  <si>
    <t>ROOTS, TUBERS AND PRODUCTS</t>
  </si>
  <si>
    <t>RICE STARCH</t>
  </si>
  <si>
    <t>POTATOES</t>
  </si>
  <si>
    <t>BRAN OF RICE</t>
  </si>
  <si>
    <t>FLOUR OF POTATOES</t>
  </si>
  <si>
    <t>BARLEY</t>
  </si>
  <si>
    <t>POTATOES FROZEN</t>
  </si>
  <si>
    <t>POT BARLEY</t>
  </si>
  <si>
    <t>POTATO STARCH</t>
  </si>
  <si>
    <t>BARLEY PEARLED</t>
  </si>
  <si>
    <t>POTATO TAPIOCA</t>
  </si>
  <si>
    <t>BARLEY FLOUR AND GRITS</t>
  </si>
  <si>
    <t>SWEET POTATOES</t>
  </si>
  <si>
    <t>MALT OF BARLEY</t>
  </si>
  <si>
    <t>CASSAVA</t>
  </si>
  <si>
    <t>MALT EXTRACTS</t>
  </si>
  <si>
    <t>FLOUR OF CASSAVA</t>
  </si>
  <si>
    <t>MAIZE</t>
  </si>
  <si>
    <t>CASSAVA TAPIOCA</t>
  </si>
  <si>
    <t>GERM OF MAIZE</t>
  </si>
  <si>
    <t>CASSAVA DRIED</t>
  </si>
  <si>
    <t>FLOUR OF MAIZE</t>
  </si>
  <si>
    <t>CASSAVA STARCH</t>
  </si>
  <si>
    <t>MAIZE GLUTEN</t>
  </si>
  <si>
    <t>YAUTIA (COCOYAM)</t>
  </si>
  <si>
    <t>STARCH OF MAIZE</t>
  </si>
  <si>
    <t>TARO (COCOYAM)</t>
  </si>
  <si>
    <t>POP CORN</t>
  </si>
  <si>
    <t>YAMS</t>
  </si>
  <si>
    <t>ROOTS, TUBERS NES</t>
  </si>
  <si>
    <t>FLOUR OF RYE</t>
  </si>
  <si>
    <t>FLOUR OF ROOTS AND TUBERS</t>
  </si>
  <si>
    <t>ROOTS, TUBERS DRIED</t>
  </si>
  <si>
    <t>OATS ROLLED</t>
  </si>
  <si>
    <t>MILLET</t>
  </si>
  <si>
    <t>SUGAR AND SYRUPS</t>
  </si>
  <si>
    <t>FLOUR OF MILLET</t>
  </si>
  <si>
    <t>SUGAR CANE</t>
  </si>
  <si>
    <t>SUGAR BEETS</t>
  </si>
  <si>
    <t>FLOUR OF SORGHM</t>
  </si>
  <si>
    <t>SUGAR CROPS NES</t>
  </si>
  <si>
    <t>SUGAR, CENTRIFUGAL RAW</t>
  </si>
  <si>
    <t>FLOUR OF BUCKWHEAT</t>
  </si>
  <si>
    <t>SUGAR REFINED</t>
  </si>
  <si>
    <t>SUGAR, NONCENTRIFUGAL</t>
  </si>
  <si>
    <t>CAKE OF SOYA BEANS</t>
  </si>
  <si>
    <t>MOLASSES</t>
  </si>
  <si>
    <t>SOYA SAUCE</t>
  </si>
  <si>
    <t>MAPLE SUGAR</t>
  </si>
  <si>
    <t>SOYA PASTE</t>
  </si>
  <si>
    <t>SUGAR AND SYRUP NES</t>
  </si>
  <si>
    <t>SOYA CURD</t>
  </si>
  <si>
    <t>SUGAR CONFECTIONERY</t>
  </si>
  <si>
    <t>GROUNDNUTS IN SHELL</t>
  </si>
  <si>
    <t>SUGARS FLAVOURED</t>
  </si>
  <si>
    <t>GROUNDNUTS SHELLED</t>
  </si>
  <si>
    <t>GLUCOSE AND DEXTROSE</t>
  </si>
  <si>
    <t>CAKE OF GROUNDNUTS</t>
  </si>
  <si>
    <t>LACTOSE</t>
  </si>
  <si>
    <t>GROUNDNUTS PREPARED</t>
  </si>
  <si>
    <t>ISOGLUCOSE</t>
  </si>
  <si>
    <t>PEANUT BUTTER</t>
  </si>
  <si>
    <t>FRUCTOSE CHEMICAL</t>
  </si>
  <si>
    <t>COCONUTS</t>
  </si>
  <si>
    <t>OTHER FRUCTOSE</t>
  </si>
  <si>
    <t>COCONUTS DESICCATED</t>
  </si>
  <si>
    <t>MALTOSE CHEMICAL</t>
  </si>
  <si>
    <t>COPRA</t>
  </si>
  <si>
    <t>HONEY</t>
  </si>
  <si>
    <t>OIL PALM FRUIT</t>
  </si>
  <si>
    <t>PALM KERNELS</t>
  </si>
  <si>
    <t>PULSES</t>
  </si>
  <si>
    <t>OLIVES</t>
  </si>
  <si>
    <t>BEANS, DRY</t>
  </si>
  <si>
    <t>OLIVES,PRESERVED</t>
  </si>
  <si>
    <t>BROAD BEANS DRY</t>
  </si>
  <si>
    <t>KARITE NUTS</t>
  </si>
  <si>
    <t>PEAS, DRY</t>
  </si>
  <si>
    <t>SUNFLOWER SEED</t>
  </si>
  <si>
    <t>CHICK-PEAS</t>
  </si>
  <si>
    <t>RAPESEED</t>
  </si>
  <si>
    <t>COW PEAS DRY</t>
  </si>
  <si>
    <t>SAFFLOWER</t>
  </si>
  <si>
    <t>PIGEON PEAS</t>
  </si>
  <si>
    <t>SESAME SEED</t>
  </si>
  <si>
    <t>LENTILS</t>
  </si>
  <si>
    <t>CAKE OF SESAME SEED</t>
  </si>
  <si>
    <t>BAMBARA BEANS</t>
  </si>
  <si>
    <t>MUSTARD SEED</t>
  </si>
  <si>
    <t>VETCHES</t>
  </si>
  <si>
    <t>FLOUR OF MUSTARD SEED</t>
  </si>
  <si>
    <t>LUPINS</t>
  </si>
  <si>
    <t>POPPY SEED</t>
  </si>
  <si>
    <t>PULSES NES</t>
  </si>
  <si>
    <t>MELONSEED</t>
  </si>
  <si>
    <t>FLOUR OF PULSES</t>
  </si>
  <si>
    <t>COTTONSEED</t>
  </si>
  <si>
    <t>LINSEED</t>
  </si>
  <si>
    <t>TREENUTS</t>
  </si>
  <si>
    <t>OILSEEDS NES</t>
  </si>
  <si>
    <t>BRAZIL NUTS</t>
  </si>
  <si>
    <t>FLOUR/MEAL OF OILSEEDS</t>
  </si>
  <si>
    <t>CASHEW NUTS</t>
  </si>
  <si>
    <t>CHESTNUTS</t>
  </si>
  <si>
    <t>VEGETABLES AND PRODUCTS</t>
  </si>
  <si>
    <t>CABBAGES</t>
  </si>
  <si>
    <t>WALNUTS</t>
  </si>
  <si>
    <t>ARTICHOKES</t>
  </si>
  <si>
    <t>PISTACHIOS</t>
  </si>
  <si>
    <t>ASPARAGUS</t>
  </si>
  <si>
    <t>KOLANUTS</t>
  </si>
  <si>
    <t>LETTUCE</t>
  </si>
  <si>
    <t>HAZELNUTS</t>
  </si>
  <si>
    <t>SPINACH</t>
  </si>
  <si>
    <t>ARECANUTS</t>
  </si>
  <si>
    <t>CASSAVA LEAVES</t>
  </si>
  <si>
    <t>BRAZILNUT SHELLED</t>
  </si>
  <si>
    <t>TOMATOES</t>
  </si>
  <si>
    <t>CASHEW NUTS SHELLED</t>
  </si>
  <si>
    <t>TOMATO JUICE</t>
  </si>
  <si>
    <t>ALMONDS SHELLED</t>
  </si>
  <si>
    <t>TOMATO JUICE CONCENTRATED</t>
  </si>
  <si>
    <t>WALNUTS SHELLED</t>
  </si>
  <si>
    <t>TOMATO PASTE</t>
  </si>
  <si>
    <t>HAZELNUTS SHELLED</t>
  </si>
  <si>
    <t>TOMATOES PEELED</t>
  </si>
  <si>
    <t>NUTS NES</t>
  </si>
  <si>
    <t>CAULIFLOWER</t>
  </si>
  <si>
    <t>PREPARED NUTS</t>
  </si>
  <si>
    <t>PUMPKINS, SQUASH, GOURDS</t>
  </si>
  <si>
    <t>SOYBEANS</t>
  </si>
  <si>
    <t>CUCUMBERS, GHERINKS</t>
  </si>
  <si>
    <t>EGGPLANTS</t>
  </si>
  <si>
    <t>CITRUS FRUIT NES JUICE CONCENTRATED</t>
  </si>
  <si>
    <t>CHILLIES, PEPPERS,GREEN</t>
  </si>
  <si>
    <t>APPLES</t>
  </si>
  <si>
    <t>ONIONS,SHALLOTS, GREEN</t>
  </si>
  <si>
    <t>APPLES JUICE</t>
  </si>
  <si>
    <t>ONIONS, DRY</t>
  </si>
  <si>
    <t>APPLES JUICE CONCENTRATED</t>
  </si>
  <si>
    <t>GARLIC</t>
  </si>
  <si>
    <t>PEARS</t>
  </si>
  <si>
    <t>LEEKS</t>
  </si>
  <si>
    <t>QUINCES</t>
  </si>
  <si>
    <t>BEANS, GREEN</t>
  </si>
  <si>
    <t>APRICOTS</t>
  </si>
  <si>
    <t>PEAS, GREEN</t>
  </si>
  <si>
    <t>SOUR CHERRY</t>
  </si>
  <si>
    <t>BROAD BEANS,GREEN</t>
  </si>
  <si>
    <t>CHERRIES</t>
  </si>
  <si>
    <t>STRING BEANS</t>
  </si>
  <si>
    <t>PEACHES AND NECTARINES</t>
  </si>
  <si>
    <t>CARROTS</t>
  </si>
  <si>
    <t>PLUMS</t>
  </si>
  <si>
    <t>OKRA</t>
  </si>
  <si>
    <t>PLUM JUICE</t>
  </si>
  <si>
    <t>GREEN CORN</t>
  </si>
  <si>
    <t>PLUM JUICE CONCENTRATED</t>
  </si>
  <si>
    <t>SWEET CORN FROZEN</t>
  </si>
  <si>
    <t>STONE FRUIT NES</t>
  </si>
  <si>
    <t>SWEET CORN PREPARED</t>
  </si>
  <si>
    <t>POME FRUIT NES</t>
  </si>
  <si>
    <t>MUSHROOMS</t>
  </si>
  <si>
    <t>CAROBS</t>
  </si>
  <si>
    <t>MUSHROOMS CANNED</t>
  </si>
  <si>
    <t>STRAWBERRIES</t>
  </si>
  <si>
    <t>MUSHROOMS DRIED</t>
  </si>
  <si>
    <t>RASPBERRIES</t>
  </si>
  <si>
    <t>VEGETABLES NES FRESH</t>
  </si>
  <si>
    <t>GOOSEBERRIES</t>
  </si>
  <si>
    <t>VEGETABLES NES DRIED</t>
  </si>
  <si>
    <t>CURRANTS</t>
  </si>
  <si>
    <t>VEGETABLES NES CANNED</t>
  </si>
  <si>
    <t>BLUEBERRIES</t>
  </si>
  <si>
    <t>VEGETABLES NES JUICE</t>
  </si>
  <si>
    <t>CRANBERRIES</t>
  </si>
  <si>
    <t>VEGETABLES DEHYDRATED</t>
  </si>
  <si>
    <t>BERRIES NES</t>
  </si>
  <si>
    <t>VEGETABLES PREPARED BY VINEGAR</t>
  </si>
  <si>
    <t>GRAPES</t>
  </si>
  <si>
    <t>VEGETABLES PREPARED NES</t>
  </si>
  <si>
    <t>GRAPE JUICE</t>
  </si>
  <si>
    <t>VEGETABLES FROZEN</t>
  </si>
  <si>
    <t>WATERMELONS</t>
  </si>
  <si>
    <t>VEGETABLES PROVISIONALLY PRESERVED</t>
  </si>
  <si>
    <t>MELONS</t>
  </si>
  <si>
    <t>VEGETABLES PREPARED OR PRES.FROZEN</t>
  </si>
  <si>
    <t>FIGS</t>
  </si>
  <si>
    <t>HOMOGENIZED VEGETABLES PREPARED</t>
  </si>
  <si>
    <t>MANGOES</t>
  </si>
  <si>
    <t>MANGO JUICE</t>
  </si>
  <si>
    <t>FRUITS AND PRODUCTS</t>
  </si>
  <si>
    <t>MANGO PULP</t>
  </si>
  <si>
    <t>BANANAS</t>
  </si>
  <si>
    <t>AVOCADOS</t>
  </si>
  <si>
    <t>PLANTAINS</t>
  </si>
  <si>
    <t>PINEAPPLES</t>
  </si>
  <si>
    <t>ORANGES</t>
  </si>
  <si>
    <t>PINEAPPLES CANNED</t>
  </si>
  <si>
    <t>ORANGE JUICE</t>
  </si>
  <si>
    <t>PINEAPPLES JUICE</t>
  </si>
  <si>
    <t>ORANGE JUICE CONCENTRATED</t>
  </si>
  <si>
    <t>PINEAPPLES JUICE CONCENTRATED</t>
  </si>
  <si>
    <t>TANGERINES, MANDARINES, CLEMENTINES</t>
  </si>
  <si>
    <t>PERSIMMONS</t>
  </si>
  <si>
    <t>TANGERINES JUICE</t>
  </si>
  <si>
    <t>CASHEWAPPLE</t>
  </si>
  <si>
    <t>LEMONS AND LIMES</t>
  </si>
  <si>
    <t>KIWI</t>
  </si>
  <si>
    <t>LEMON JUICE</t>
  </si>
  <si>
    <t>PAPAYAS</t>
  </si>
  <si>
    <t>LEMON JUICE CONCENTRATED</t>
  </si>
  <si>
    <t>FRUIT TROPICAL NES</t>
  </si>
  <si>
    <t>GRAPEFRUIT AND POMELO</t>
  </si>
  <si>
    <t>FRUIT NES FRESH</t>
  </si>
  <si>
    <t>GRAPEFRUIT JUICE</t>
  </si>
  <si>
    <t>FRUIT NES JUICE</t>
  </si>
  <si>
    <t>GRAPEFRUIT JUICE CONCENTRATED</t>
  </si>
  <si>
    <t>FRUIT NES PREPARED</t>
  </si>
  <si>
    <t>CITRUS FRUIT NES</t>
  </si>
  <si>
    <t>FLOUR OF FRUIT</t>
  </si>
  <si>
    <t>CITRUS FRUIT NES JUICE</t>
  </si>
  <si>
    <t>FRUIT,NUTS,FRUIT PEEL PRESERVED BY SUGAR</t>
  </si>
  <si>
    <t>FRUIT COOKED HOMOGENIZED</t>
  </si>
  <si>
    <t>WINE</t>
  </si>
  <si>
    <t>VERMOUTHS AND SIMILAR</t>
  </si>
  <si>
    <t>Dried fruits</t>
  </si>
  <si>
    <t>BEVERAGES DIST. ALCOHOL</t>
  </si>
  <si>
    <t>APRICOTS DRIED</t>
  </si>
  <si>
    <t>PLUMS DRIED</t>
  </si>
  <si>
    <t>MEAT AND PRODUCTS</t>
  </si>
  <si>
    <t>RAISINS</t>
  </si>
  <si>
    <t>FIGS DRIED</t>
  </si>
  <si>
    <t>BEEF BONELESS</t>
  </si>
  <si>
    <t>DATES</t>
  </si>
  <si>
    <t>BEEF DRIED SALTED SMOKED</t>
  </si>
  <si>
    <t>FRUIT TROPICAL NES DRIED</t>
  </si>
  <si>
    <t>MEAT EXTRACTS</t>
  </si>
  <si>
    <t>FRUIT NES DRIED</t>
  </si>
  <si>
    <t>BEEF SAUSAGES</t>
  </si>
  <si>
    <t>BEEF PREPARATIONS</t>
  </si>
  <si>
    <t>STIMULANTS</t>
  </si>
  <si>
    <t>BEEF CANNED</t>
  </si>
  <si>
    <t>COFFEE GREEN</t>
  </si>
  <si>
    <t>HOMOGENIZED MEAT PREPARED</t>
  </si>
  <si>
    <t>COFFEE ROASTED</t>
  </si>
  <si>
    <t>LIVER PREPARATIONS</t>
  </si>
  <si>
    <t>COFFEE SUBSTITUTES</t>
  </si>
  <si>
    <t>OFFALS OF CATTLE</t>
  </si>
  <si>
    <t>COFFEE EXTRACTS</t>
  </si>
  <si>
    <t>BUFFALO MEAT</t>
  </si>
  <si>
    <t>CHICORY ROOTS</t>
  </si>
  <si>
    <t>OFFALS OF BUFFALO</t>
  </si>
  <si>
    <t>COCOA BEANS</t>
  </si>
  <si>
    <t>MUTTON AND LAMB</t>
  </si>
  <si>
    <t>COCOA PASTE</t>
  </si>
  <si>
    <t>OFFALS OF SHEEP</t>
  </si>
  <si>
    <t>COCOA BUTTER</t>
  </si>
  <si>
    <t>GOAT MEAT</t>
  </si>
  <si>
    <t>COCOA POWDER</t>
  </si>
  <si>
    <t>OFFALS OF GOATS</t>
  </si>
  <si>
    <t>CHOCOLATE PRODUCTS NES</t>
  </si>
  <si>
    <t>PIGMEAT</t>
  </si>
  <si>
    <t>TEA</t>
  </si>
  <si>
    <t>PORK</t>
  </si>
  <si>
    <t>EXTRACT TEA</t>
  </si>
  <si>
    <t>BACON - HAM OF PIGS</t>
  </si>
  <si>
    <t>TEA NES</t>
  </si>
  <si>
    <t>PIG MEAT SAUSAGES</t>
  </si>
  <si>
    <t>MATE</t>
  </si>
  <si>
    <t>PIG MEAT PREPARATIONS</t>
  </si>
  <si>
    <t>OFFALS OF PIGS</t>
  </si>
  <si>
    <t>SPICES</t>
  </si>
  <si>
    <t>CHICKEN MEAT</t>
  </si>
  <si>
    <t>PEPPER WHITE/LONG/BLACK</t>
  </si>
  <si>
    <t>CHICKEN MEAT CANNED</t>
  </si>
  <si>
    <t>PIMENTO</t>
  </si>
  <si>
    <t>OFFAL OF CHICKENS</t>
  </si>
  <si>
    <t>CINNAMON</t>
  </si>
  <si>
    <t>FAT LIVER PREPARATIONS</t>
  </si>
  <si>
    <t>CLOVES</t>
  </si>
  <si>
    <t>DUCK MEAT</t>
  </si>
  <si>
    <t>NUTMEG</t>
  </si>
  <si>
    <t>OFFALS LIVER DUCKS</t>
  </si>
  <si>
    <t>ANISE</t>
  </si>
  <si>
    <t>GOOSE MEAT</t>
  </si>
  <si>
    <t>GINGER</t>
  </si>
  <si>
    <t>OFFALS LIVER GEESE</t>
  </si>
  <si>
    <t>SPICES NES</t>
  </si>
  <si>
    <t>TURKEY MEAT</t>
  </si>
  <si>
    <t>OFFALS LIVER TURKEYS</t>
  </si>
  <si>
    <t>ALCOHOLIC BEVERAGES</t>
  </si>
  <si>
    <t>PIGEONS OTHER BIRDS</t>
  </si>
  <si>
    <t>WHEAT FERMENTED BEVERAGE</t>
  </si>
  <si>
    <t>POULTRY MEAT</t>
  </si>
  <si>
    <t>RICE FERMENTED BEVERAGE</t>
  </si>
  <si>
    <t>HORSEMEAT</t>
  </si>
  <si>
    <t>BEER BARLEY</t>
  </si>
  <si>
    <t>OFFALS OF HORSES</t>
  </si>
  <si>
    <t>BEER MAIZE</t>
  </si>
  <si>
    <t>MEAT OF ASSES</t>
  </si>
  <si>
    <t>BEER MILLET</t>
  </si>
  <si>
    <t>MEAT OF MULES</t>
  </si>
  <si>
    <t>BEER SORGHUM</t>
  </si>
  <si>
    <t>MEAT OF CAMELS</t>
  </si>
  <si>
    <t>FERMENTED BEVERAGES, CIDER ETC.</t>
  </si>
  <si>
    <t>OFFALS OF CAMELS</t>
  </si>
  <si>
    <t>MUST OF GRAPES</t>
  </si>
  <si>
    <t>RABBIT MEAT</t>
  </si>
  <si>
    <t>bovine meat</t>
  </si>
  <si>
    <t>pig</t>
  </si>
  <si>
    <t>MEAT OF OTHER RODENTS</t>
  </si>
  <si>
    <t>MOLLUSCS CANNED</t>
  </si>
  <si>
    <t>offals</t>
  </si>
  <si>
    <t>MEAT OF OTHER CAMELIDS</t>
  </si>
  <si>
    <t>CEPHALOPODS FRESH</t>
  </si>
  <si>
    <t>sheep and goat</t>
  </si>
  <si>
    <t>OFFALS OF OTHER CAMELIDS</t>
  </si>
  <si>
    <t>CEPHALOPODS FROZEN</t>
  </si>
  <si>
    <t>GAME MEAT</t>
  </si>
  <si>
    <t>CEPHALOPODS CURED</t>
  </si>
  <si>
    <t>MEAT NES</t>
  </si>
  <si>
    <t>CEPHALOPODS CANNED</t>
  </si>
  <si>
    <t>MEAT NES DRIED</t>
  </si>
  <si>
    <t>CEPHALOPODS PREPARED NES</t>
  </si>
  <si>
    <t>MEAT PREPARED NES</t>
  </si>
  <si>
    <t>AQUATIC MAMMALS MEAT</t>
  </si>
  <si>
    <t>OFFALS NES</t>
  </si>
  <si>
    <t>AQUATIC MAMMALS PREPARED NES</t>
  </si>
  <si>
    <t>SNAILS NOT SEA</t>
  </si>
  <si>
    <t>AQUATIC ANIMALS NES FRESH</t>
  </si>
  <si>
    <t>AQUATIC ANIMALS NES CURED</t>
  </si>
  <si>
    <t>EGGS</t>
  </si>
  <si>
    <t>AQUATIC ANIMALS PREPARED NES</t>
  </si>
  <si>
    <t>HEN EGGS</t>
  </si>
  <si>
    <t>AQUATIC PLANTS</t>
  </si>
  <si>
    <t>EGGS LIQUID HEN</t>
  </si>
  <si>
    <t>AQUATIC PLANTS DRIED</t>
  </si>
  <si>
    <t>EGGS DRY HEN</t>
  </si>
  <si>
    <t>AQUATIC PLANTS PREPARED NES</t>
  </si>
  <si>
    <t>EGG ALBUMINE</t>
  </si>
  <si>
    <t>EGGS EXCLUDING HEN EGGS</t>
  </si>
  <si>
    <t>MILK AND CHEESE</t>
  </si>
  <si>
    <t>COW MILK, WHOLE FRESH</t>
  </si>
  <si>
    <t>FISH AND FISHERIES PRODUCTS</t>
  </si>
  <si>
    <t>STANDARDIZED MILK</t>
  </si>
  <si>
    <t>FRESHWATER DIADROMOUS FISH FRESH</t>
  </si>
  <si>
    <t>CREAM, FRESH</t>
  </si>
  <si>
    <t>FRESHWATER DIADROMOUS FISH FILLET</t>
  </si>
  <si>
    <t>WHOLE COW MILK EVAPORATED</t>
  </si>
  <si>
    <t>FRESHWATER DIADROMOUS FISH CURED</t>
  </si>
  <si>
    <t>WHOLE COW MILK CONDENSED</t>
  </si>
  <si>
    <t>FRESHWATER DIADROMOUS FISH CANNED</t>
  </si>
  <si>
    <t>WHOLE COW MILK DRY</t>
  </si>
  <si>
    <t>FRESHWATER DIADROM. FISH PREPARED NES</t>
  </si>
  <si>
    <t>SKIM MILK OF COWS</t>
  </si>
  <si>
    <t>DEMERSAL FISH FRESH</t>
  </si>
  <si>
    <t>SKIM MILK EVAPORATED</t>
  </si>
  <si>
    <t>DEMERSAL FISH FILLET</t>
  </si>
  <si>
    <t>SKIM MILK CONDENSED</t>
  </si>
  <si>
    <t>DEMERSAL FISH CURED</t>
  </si>
  <si>
    <t>SKIM MILK DRY</t>
  </si>
  <si>
    <t>DEMERSAL FISH CANNED</t>
  </si>
  <si>
    <t>BUTTERMILK CURDLED</t>
  </si>
  <si>
    <t>DEMERSAL FISH PREPARED NES</t>
  </si>
  <si>
    <t>BUTTERMILK DRY</t>
  </si>
  <si>
    <t>PELAGIC FISH FRESH</t>
  </si>
  <si>
    <t>YOGHURT</t>
  </si>
  <si>
    <t>PELAGIC FISH FILLET</t>
  </si>
  <si>
    <t>YOGHURT CONCENTRATED</t>
  </si>
  <si>
    <t>PELAGIC FISH CURED</t>
  </si>
  <si>
    <t>RECONSTITUTED MILK</t>
  </si>
  <si>
    <t>PELAGIC FISH CANNED</t>
  </si>
  <si>
    <t>CHEESE WHOLE COW MILK</t>
  </si>
  <si>
    <t>PELAGIC FISH PREPARED NES</t>
  </si>
  <si>
    <t>CHEESE SKIM COW MILK</t>
  </si>
  <si>
    <t>MARINE FISH NES FRESH</t>
  </si>
  <si>
    <t>WHEY CHEESE</t>
  </si>
  <si>
    <t>MARINE FISH NES FILLET</t>
  </si>
  <si>
    <t>PROCESSED CHEESE</t>
  </si>
  <si>
    <t>MARINE FISH NES CURED</t>
  </si>
  <si>
    <t>WHEY FRESH</t>
  </si>
  <si>
    <t>MARINE FISH NES CANNED</t>
  </si>
  <si>
    <t>WHEY CONDENSED</t>
  </si>
  <si>
    <t>MARINE FISH PREPARED NES</t>
  </si>
  <si>
    <t>WHEY DRY</t>
  </si>
  <si>
    <t>CRUSTACEANS FRESH</t>
  </si>
  <si>
    <t>CASEIN</t>
  </si>
  <si>
    <t>CRUSTACEANS FROZEN</t>
  </si>
  <si>
    <t>BUFFALO MILK</t>
  </si>
  <si>
    <t>CRUSTACEANS CURED</t>
  </si>
  <si>
    <t>SKIM MILK OF BUFFALO</t>
  </si>
  <si>
    <t>CRUSTACEANS CANNED</t>
  </si>
  <si>
    <t>CHEESE BUFFALO MILK</t>
  </si>
  <si>
    <t>CRUSTACEANS PREPARED NES</t>
  </si>
  <si>
    <t>SHEEP MILK</t>
  </si>
  <si>
    <t>MOLLUSCS FRESH</t>
  </si>
  <si>
    <t>CHEESE SHEEP MILK</t>
  </si>
  <si>
    <t>MOLLUSCS FROZEN</t>
  </si>
  <si>
    <t>SKIM MILK OF SHEEP</t>
  </si>
  <si>
    <t>MOLLUSCS CURED</t>
  </si>
  <si>
    <t>GOAT MILK</t>
  </si>
  <si>
    <t>CHEESE GOAT MILK</t>
  </si>
  <si>
    <t>FAT OF GOATS</t>
  </si>
  <si>
    <t>SKIM MILK OF GOAT</t>
  </si>
  <si>
    <t>BUTTER OF GOAT MILK</t>
  </si>
  <si>
    <t>CAMEL MILK</t>
  </si>
  <si>
    <t>FAT OF PIGS</t>
  </si>
  <si>
    <t>PIG BUTCHER FAT</t>
  </si>
  <si>
    <t>OILS AND FATS</t>
  </si>
  <si>
    <t>LARD</t>
  </si>
  <si>
    <t>VEGETABLE OILS</t>
  </si>
  <si>
    <t>FAT OF POULTRY</t>
  </si>
  <si>
    <t>OIL OF RICE BRAN</t>
  </si>
  <si>
    <t>FAT OF POULTRY RENDERED</t>
  </si>
  <si>
    <t>OIL OF MAIZE</t>
  </si>
  <si>
    <t>FAT OF CAMELS</t>
  </si>
  <si>
    <t>OIL OF SOYABEANS</t>
  </si>
  <si>
    <t>FAT OF OTHER CAMELIDS</t>
  </si>
  <si>
    <t>OIL OF GROUNDNUTS</t>
  </si>
  <si>
    <t>ANIMAL OILS AND FATS NES</t>
  </si>
  <si>
    <t>OIL OF COCONUTS</t>
  </si>
  <si>
    <t>TALLOW</t>
  </si>
  <si>
    <t>PALM OIL</t>
  </si>
  <si>
    <t>FATS PREPARATION NES</t>
  </si>
  <si>
    <t>OIL OF PALM KERNELS</t>
  </si>
  <si>
    <t>FRESHWATER DIADROMOUS FISH BODY OIL</t>
  </si>
  <si>
    <t>OLIVE OIL</t>
  </si>
  <si>
    <t>FRESHWATER DIADROMOUS FISH LIVER OIL</t>
  </si>
  <si>
    <t>BUTTER OF KARITE NUTS</t>
  </si>
  <si>
    <t>DEMERSAL FISH BODY OIL</t>
  </si>
  <si>
    <t>OIL OF CASTOR BEANS</t>
  </si>
  <si>
    <t>DEMERSAL FISH LIVER OIL</t>
  </si>
  <si>
    <t>OIL OF SUNFLOWER SEED</t>
  </si>
  <si>
    <t>PELAGIC FISH BODY OIL</t>
  </si>
  <si>
    <t>OIL OF RAPESEED</t>
  </si>
  <si>
    <t>PELAGIC FISH LIVER OIL</t>
  </si>
  <si>
    <t>OIL OF OLIVE RESIDUES</t>
  </si>
  <si>
    <t>MARINE FISH NES BODY OIL</t>
  </si>
  <si>
    <t>TUNG OIL</t>
  </si>
  <si>
    <t>MARINE FISH L221NES LIVER OIL</t>
  </si>
  <si>
    <t>OIL OF SAFFLOWER</t>
  </si>
  <si>
    <t>AQUATIC MAMMALS OILS</t>
  </si>
  <si>
    <t>OIL OF SESAME SEED</t>
  </si>
  <si>
    <t>OIL OF MUSTARD SEED</t>
  </si>
  <si>
    <t>MISCELLANOUS</t>
  </si>
  <si>
    <t>OIL OF POPPY SEED</t>
  </si>
  <si>
    <t>INFANT FOOD</t>
  </si>
  <si>
    <t>STILLINGIA OIL</t>
  </si>
  <si>
    <t>BEVERAGES NON-ALCOHOLIC</t>
  </si>
  <si>
    <t>OIL OF KAPOK</t>
  </si>
  <si>
    <t>ICE CREAM</t>
  </si>
  <si>
    <t>OIL OF COTTON SEED</t>
  </si>
  <si>
    <t>FOOD PREPARATIONS</t>
  </si>
  <si>
    <t>OIL OF LINSEED</t>
  </si>
  <si>
    <t>OIL OF HEMPSEED</t>
  </si>
  <si>
    <t>OIL OF VEGETABLE ORIGIN NES</t>
  </si>
  <si>
    <t>MARGARINE</t>
  </si>
  <si>
    <t>OILS BOILED</t>
  </si>
  <si>
    <t>OILS HYDROGENATED</t>
  </si>
  <si>
    <t>ANIMALS FATS</t>
  </si>
  <si>
    <t>FAT OF CATTLE</t>
  </si>
  <si>
    <t>CATTLE BUTCHER FAT</t>
  </si>
  <si>
    <t>BUTTER OF COW MILK</t>
  </si>
  <si>
    <t>GHEE FROM COW MILK</t>
  </si>
  <si>
    <t>FAT OF BUFFALO</t>
  </si>
  <si>
    <t>BUTTER OF BUFFALO MILK</t>
  </si>
  <si>
    <t>GHEE FROM BUFFALO MILK</t>
  </si>
  <si>
    <t>FAT OF SHEEP</t>
  </si>
  <si>
    <t>BUTTER OF SHEEP MILK</t>
  </si>
  <si>
    <t>Food composition tables, FAO</t>
  </si>
  <si>
    <t>https://www.fao.org/4/x9892e/X9892e05.htm#P8217_125315</t>
  </si>
  <si>
    <t>Food composition in terms of the retail weight ("as purchased") in 100 grams</t>
  </si>
  <si>
    <t>average</t>
  </si>
  <si>
    <t>milk and yogurt</t>
  </si>
  <si>
    <t>calories</t>
  </si>
  <si>
    <t>protein</t>
  </si>
  <si>
    <t>mass content (g/d)</t>
  </si>
  <si>
    <t>cheese</t>
  </si>
  <si>
    <t>milk drinks</t>
  </si>
  <si>
    <t>assumed refined grains</t>
  </si>
  <si>
    <t>assumed average of the category</t>
  </si>
  <si>
    <t>assumed dairy</t>
  </si>
  <si>
    <t>notes on enviromental data</t>
  </si>
  <si>
    <t>assumed vegetable</t>
  </si>
  <si>
    <t>assumed as average of the category</t>
  </si>
  <si>
    <t>assumed average of sweets and refined grains</t>
  </si>
  <si>
    <t>assumed as average of fish, poultry and red and processed meat</t>
  </si>
  <si>
    <t>SSB</t>
  </si>
  <si>
    <t>assumed fruits - caloric difference between fruits nd fruits juice is negligable</t>
  </si>
  <si>
    <t>assumed vegetables</t>
  </si>
  <si>
    <t>assumed sweets</t>
  </si>
  <si>
    <t>assumed an average of refined grains, poultry and red and processed meat</t>
  </si>
  <si>
    <t>average of sweet potato and potato</t>
  </si>
  <si>
    <t>average of all foods in the category</t>
  </si>
  <si>
    <t>LAND, m2-y/g</t>
  </si>
  <si>
    <t>NR, gNr/g</t>
  </si>
  <si>
    <t>WSF, Leq/g</t>
  </si>
  <si>
    <t>GHGE, kgCO2eq/g</t>
  </si>
  <si>
    <t>kcal/100g</t>
  </si>
  <si>
    <t>g/100g</t>
  </si>
  <si>
    <t>g/1005</t>
  </si>
  <si>
    <t>assumed average of refined grains and sweets</t>
  </si>
  <si>
    <t>WATER SCARCITY FOOTPRINT (liter eq./g)</t>
  </si>
  <si>
    <t>assumed 0.6 refined grains and 0.4 veg oils</t>
  </si>
  <si>
    <t>assumed as sugar, enviro row 248</t>
  </si>
  <si>
    <t>assumed 70% average of refined grains, poultry and red and processed meat, and 30% of vegetables</t>
  </si>
  <si>
    <t>assumed 80% average fats, 10% grains, 10% refined grains</t>
  </si>
  <si>
    <t>protein content (g/d)</t>
  </si>
  <si>
    <t>protein content (g protein/g)</t>
  </si>
  <si>
    <t>Mean American Diet</t>
  </si>
  <si>
    <t>per year</t>
  </si>
  <si>
    <t>multipication factor</t>
  </si>
  <si>
    <t>non protein</t>
  </si>
  <si>
    <t>target protein</t>
  </si>
  <si>
    <t>coefficents used</t>
  </si>
  <si>
    <t>non meat protein</t>
  </si>
  <si>
    <t>meat protein</t>
  </si>
  <si>
    <t>GHG</t>
  </si>
  <si>
    <t>land</t>
  </si>
  <si>
    <t>N fertilizer</t>
  </si>
  <si>
    <t>Diets</t>
  </si>
  <si>
    <t>Nutrient compostion tables</t>
  </si>
  <si>
    <t>Enviromental Data</t>
  </si>
  <si>
    <t>Summary of Results</t>
  </si>
  <si>
    <t>summary</t>
  </si>
  <si>
    <t>enviro</t>
  </si>
  <si>
    <t>nutrient content</t>
  </si>
  <si>
    <t>caloric density (kcal/g)</t>
  </si>
  <si>
    <t>0.8 g/kg</t>
  </si>
  <si>
    <t>1.2 g/kg</t>
  </si>
  <si>
    <t>1.6 g/kg</t>
  </si>
  <si>
    <t>1.6 g/kg plants</t>
  </si>
  <si>
    <t>UPF</t>
  </si>
  <si>
    <t>1.6 g/kg animal</t>
  </si>
  <si>
    <t>Columns A, B, C, D and E are taken from Table 4 from</t>
  </si>
  <si>
    <t>protein content (g protein/d)</t>
  </si>
  <si>
    <t>LAND Needs, loss-adjusted (m2-yr/d)</t>
  </si>
  <si>
    <t>NR needs, loss-adjusted (gNr/d)</t>
  </si>
  <si>
    <t>WATER SCARCITY FOOTPRINT (liter eq/d)</t>
  </si>
  <si>
    <t>GHGE (kgCO2eq/d)</t>
  </si>
  <si>
    <t>WATER SCARCITY FOOTPRINT (liter eq./d)</t>
  </si>
  <si>
    <t>Table taken from Katz et al (2025)</t>
  </si>
  <si>
    <t>https://www.frontiersin.org/journals/nutrition/articles/10.3389/fnut.2025.1678148/full</t>
  </si>
  <si>
    <t>Additional Calculations; Gidon MAD; M&amp;H; foodemissions.com; Poore 2018</t>
  </si>
  <si>
    <r>
      <t xml:space="preserve">beverage </t>
    </r>
    <r>
      <rPr>
        <b/>
        <sz val="11"/>
        <color rgb="FF000000"/>
        <rFont val="Calibri"/>
        <family val="2"/>
      </rPr>
      <t>juice, fruit</t>
    </r>
  </si>
  <si>
    <r>
      <rPr>
        <sz val="11"/>
        <rFont val="Calibri"/>
        <family val="2"/>
      </rPr>
      <t xml:space="preserve">0.8846153846*apples: scaled from caloric ratio of apples to apple juice </t>
    </r>
    <r>
      <rPr>
        <u/>
        <sz val="11"/>
        <color rgb="FF1155CC"/>
        <rFont val="Calibri"/>
        <family val="2"/>
      </rPr>
      <t>http://nutritiondata.self.com</t>
    </r>
    <r>
      <rPr>
        <sz val="11"/>
        <rFont val="Calibri"/>
        <family val="2"/>
      </rPr>
      <t>; nur11.sas.dd: aj11d = "FRUITS - Apple Juice or Cider"</t>
    </r>
  </si>
  <si>
    <r>
      <rPr>
        <sz val="11"/>
        <rFont val="Calibri"/>
        <family val="2"/>
      </rPr>
      <t xml:space="preserve">Additional Calculations, Gidon MAD, M&amp;H, Food Emissions Calculator; </t>
    </r>
    <r>
      <rPr>
        <u/>
        <sz val="11"/>
        <color rgb="FF1155CC"/>
        <rFont val="Calibri"/>
        <family val="2"/>
      </rPr>
      <t>CIAchef.edu</t>
    </r>
  </si>
  <si>
    <r>
      <t xml:space="preserve">beverage </t>
    </r>
    <r>
      <rPr>
        <b/>
        <sz val="11"/>
        <color theme="1"/>
        <rFont val="Calibri"/>
        <family val="2"/>
      </rPr>
      <t>tea and coffee</t>
    </r>
  </si>
  <si>
    <r>
      <t>dairy</t>
    </r>
    <r>
      <rPr>
        <sz val="11"/>
        <color theme="1"/>
        <rFont val="Calibri"/>
        <family val="2"/>
      </rPr>
      <t xml:space="preserve"> dry/hard</t>
    </r>
  </si>
  <si>
    <r>
      <rPr>
        <sz val="11"/>
        <rFont val="Calibri"/>
        <family val="2"/>
      </rPr>
      <t xml:space="preserve">equals egg; Gidon MAD; </t>
    </r>
    <r>
      <rPr>
        <u/>
        <sz val="11"/>
        <color rgb="FF1155CC"/>
        <rFont val="Calibri"/>
        <family val="2"/>
      </rPr>
      <t>http://www.foodemissions.com/foodemissions/Calculator</t>
    </r>
    <r>
      <rPr>
        <sz val="11"/>
        <rFont val="Calibri"/>
        <family val="2"/>
      </rPr>
      <t>; additional calculations; Gidon Correspondence</t>
    </r>
  </si>
  <si>
    <r>
      <rPr>
        <b/>
        <sz val="11"/>
        <color rgb="FF000000"/>
        <rFont val="Calibri"/>
        <family val="2"/>
      </rPr>
      <t>fish</t>
    </r>
    <r>
      <rPr>
        <sz val="11"/>
        <color rgb="FF000000"/>
        <rFont val="Calibri"/>
        <family val="2"/>
      </rPr>
      <t xml:space="preserve"> cooked farm</t>
    </r>
  </si>
  <si>
    <r>
      <rPr>
        <b/>
        <sz val="11"/>
        <color rgb="FF000000"/>
        <rFont val="Calibri"/>
        <family val="2"/>
      </rPr>
      <t>fish</t>
    </r>
    <r>
      <rPr>
        <sz val="11"/>
        <color rgb="FF000000"/>
        <rFont val="Calibri"/>
        <family val="2"/>
      </rPr>
      <t xml:space="preserve"> cooked wild</t>
    </r>
  </si>
  <si>
    <r>
      <rPr>
        <b/>
        <sz val="11"/>
        <color rgb="FF000000"/>
        <rFont val="Calibri"/>
        <family val="2"/>
      </rPr>
      <t>fish</t>
    </r>
    <r>
      <rPr>
        <sz val="11"/>
        <color rgb="FF000000"/>
        <rFont val="Calibri"/>
        <family val="2"/>
      </rPr>
      <t xml:space="preserve"> raw both</t>
    </r>
  </si>
  <si>
    <r>
      <rPr>
        <b/>
        <sz val="11"/>
        <color rgb="FF000000"/>
        <rFont val="Calibri"/>
        <family val="2"/>
      </rPr>
      <t>fish</t>
    </r>
    <r>
      <rPr>
        <sz val="11"/>
        <color rgb="FF000000"/>
        <rFont val="Calibri"/>
        <family val="2"/>
      </rPr>
      <t xml:space="preserve"> raw farm</t>
    </r>
  </si>
  <si>
    <r>
      <rPr>
        <b/>
        <sz val="11"/>
        <color rgb="FF000000"/>
        <rFont val="Calibri"/>
        <family val="2"/>
      </rPr>
      <t>fish</t>
    </r>
    <r>
      <rPr>
        <sz val="11"/>
        <color rgb="FF000000"/>
        <rFont val="Calibri"/>
        <family val="2"/>
      </rPr>
      <t xml:space="preserve"> raw wild</t>
    </r>
  </si>
  <si>
    <r>
      <rPr>
        <b/>
        <sz val="11"/>
        <color rgb="FF000000"/>
        <rFont val="Calibri"/>
        <family val="2"/>
      </rPr>
      <t>fruit</t>
    </r>
    <r>
      <rPr>
        <sz val="11"/>
        <color rgb="FF000000"/>
        <rFont val="Calibri"/>
        <family val="2"/>
      </rPr>
      <t xml:space="preserve"> berry</t>
    </r>
  </si>
  <si>
    <r>
      <rPr>
        <sz val="11"/>
        <rFont val="Calibri"/>
        <family val="2"/>
      </rPr>
      <t xml:space="preserve">Gidon MAD, M&amp;H, </t>
    </r>
    <r>
      <rPr>
        <u/>
        <sz val="11"/>
        <color rgb="FF1155CC"/>
        <rFont val="Calibri"/>
        <family val="2"/>
      </rPr>
      <t>foodemissions.com</t>
    </r>
    <r>
      <rPr>
        <sz val="11"/>
        <rFont val="Calibri"/>
        <family val="2"/>
      </rPr>
      <t xml:space="preserve"> nur11.sas.dd: straw11d  = "FRUITS - Strawberries"</t>
    </r>
  </si>
  <si>
    <r>
      <rPr>
        <b/>
        <sz val="11"/>
        <color rgb="FF000000"/>
        <rFont val="Calibri"/>
        <family val="2"/>
      </rPr>
      <t>fruit</t>
    </r>
    <r>
      <rPr>
        <sz val="11"/>
        <color rgb="FF000000"/>
        <rFont val="Calibri"/>
        <family val="2"/>
      </rPr>
      <t xml:space="preserve"> citrus</t>
    </r>
  </si>
  <si>
    <r>
      <rPr>
        <sz val="11"/>
        <rFont val="Calibri"/>
        <family val="2"/>
      </rPr>
      <t xml:space="preserve">Gidon MAD, M&amp;H, </t>
    </r>
    <r>
      <rPr>
        <u/>
        <sz val="11"/>
        <color rgb="FF1155CC"/>
        <rFont val="Calibri"/>
        <family val="2"/>
      </rPr>
      <t>http://www.foodemissions.com/Calculator</t>
    </r>
  </si>
  <si>
    <r>
      <rPr>
        <sz val="11"/>
        <rFont val="Calibri"/>
        <family val="2"/>
      </rPr>
      <t xml:space="preserve">Gidon MAD; Additional calculations; </t>
    </r>
    <r>
      <rPr>
        <u/>
        <sz val="11"/>
        <color rgb="FF1155CC"/>
        <rFont val="Calibri"/>
        <family val="2"/>
      </rPr>
      <t>http://www.foodemissions.com/Calculator</t>
    </r>
  </si>
  <si>
    <r>
      <rPr>
        <b/>
        <sz val="11"/>
        <color rgb="FF000000"/>
        <rFont val="Calibri"/>
        <family val="2"/>
      </rPr>
      <t>fruit</t>
    </r>
    <r>
      <rPr>
        <sz val="11"/>
        <color rgb="FF000000"/>
        <rFont val="Calibri"/>
        <family val="2"/>
      </rPr>
      <t xml:space="preserve"> grape</t>
    </r>
  </si>
  <si>
    <r>
      <rPr>
        <b/>
        <sz val="11"/>
        <color rgb="FF000000"/>
        <rFont val="Calibri"/>
        <family val="2"/>
      </rPr>
      <t>fruit</t>
    </r>
    <r>
      <rPr>
        <sz val="11"/>
        <color rgb="FF000000"/>
        <rFont val="Calibri"/>
        <family val="2"/>
      </rPr>
      <t xml:space="preserve"> melon</t>
    </r>
  </si>
  <si>
    <r>
      <rPr>
        <sz val="11"/>
        <rFont val="Calibri"/>
        <family val="2"/>
      </rPr>
      <t xml:space="preserve">Gidon MAD; </t>
    </r>
    <r>
      <rPr>
        <u/>
        <sz val="11"/>
        <color rgb="FF1155CC"/>
        <rFont val="Calibri"/>
        <family val="2"/>
      </rPr>
      <t>http://www.foodemissions.com/Calculator</t>
    </r>
    <r>
      <rPr>
        <sz val="11"/>
        <rFont val="Calibri"/>
        <family val="2"/>
      </rPr>
      <t>, Additional Research, FFQ variable names joint.xlsx description: "cant"</t>
    </r>
  </si>
  <si>
    <r>
      <rPr>
        <sz val="11"/>
        <rFont val="Calibri"/>
        <family val="2"/>
      </rPr>
      <t xml:space="preserve">Additional Calculations; Gidon MAD, M&amp;H, </t>
    </r>
    <r>
      <rPr>
        <u/>
        <sz val="11"/>
        <color rgb="FF1155CC"/>
        <rFont val="Calibri"/>
        <family val="2"/>
      </rPr>
      <t>http://www.foodemissions.com/Calculator</t>
    </r>
  </si>
  <si>
    <r>
      <rPr>
        <b/>
        <sz val="11"/>
        <color rgb="FF000000"/>
        <rFont val="Calibri"/>
        <family val="2"/>
      </rPr>
      <t>fruit</t>
    </r>
    <r>
      <rPr>
        <sz val="11"/>
        <color rgb="FF000000"/>
        <rFont val="Calibri"/>
        <family val="2"/>
      </rPr>
      <t xml:space="preserve"> pome</t>
    </r>
  </si>
  <si>
    <r>
      <rPr>
        <sz val="11"/>
        <rFont val="Calibri"/>
        <family val="2"/>
      </rPr>
      <t xml:space="preserve">Gidon MAD, M&amp;H, </t>
    </r>
    <r>
      <rPr>
        <u/>
        <sz val="11"/>
        <color rgb="FF1155CC"/>
        <rFont val="Calibri"/>
        <family val="2"/>
      </rPr>
      <t>foodemissions.com/Calculator</t>
    </r>
  </si>
  <si>
    <r>
      <rPr>
        <b/>
        <sz val="11"/>
        <color rgb="FF000000"/>
        <rFont val="Calibri"/>
        <family val="2"/>
      </rPr>
      <t>fruit</t>
    </r>
    <r>
      <rPr>
        <sz val="11"/>
        <color rgb="FF000000"/>
        <rFont val="Calibri"/>
        <family val="2"/>
      </rPr>
      <t xml:space="preserve"> stone</t>
    </r>
  </si>
  <si>
    <r>
      <rPr>
        <sz val="11"/>
        <rFont val="Calibri"/>
        <family val="2"/>
      </rPr>
      <t xml:space="preserve">Gidon MAD, M&amp;H, </t>
    </r>
    <r>
      <rPr>
        <u/>
        <sz val="11"/>
        <color rgb="FF1155CC"/>
        <rFont val="Calibri"/>
        <family val="2"/>
      </rPr>
      <t>foodemissions.com/Calculator</t>
    </r>
    <r>
      <rPr>
        <sz val="11"/>
        <rFont val="Calibri"/>
        <family val="2"/>
      </rPr>
      <t xml:space="preserve"> nur11.sas.dd: peach11d = "FRUITS - Peaches, Plums"</t>
    </r>
  </si>
  <si>
    <r>
      <rPr>
        <b/>
        <sz val="11"/>
        <color rgb="FF000000"/>
        <rFont val="Calibri"/>
        <family val="2"/>
      </rPr>
      <t>fruit</t>
    </r>
    <r>
      <rPr>
        <sz val="11"/>
        <color rgb="FF000000"/>
        <rFont val="Calibri"/>
        <family val="2"/>
      </rPr>
      <t xml:space="preserve"> tropical</t>
    </r>
  </si>
  <si>
    <r>
      <rPr>
        <b/>
        <sz val="11"/>
        <color rgb="FF000000"/>
        <rFont val="Calibri"/>
        <family val="2"/>
      </rPr>
      <t>fruit</t>
    </r>
    <r>
      <rPr>
        <sz val="11"/>
        <color rgb="FF000000"/>
        <rFont val="Calibri"/>
        <family val="2"/>
      </rPr>
      <t xml:space="preserve"> xcan</t>
    </r>
  </si>
  <si>
    <r>
      <rPr>
        <b/>
        <sz val="11"/>
        <color rgb="FF000000"/>
        <rFont val="Calibri"/>
        <family val="2"/>
      </rPr>
      <t>fruit</t>
    </r>
    <r>
      <rPr>
        <sz val="11"/>
        <color rgb="FF000000"/>
        <rFont val="Calibri"/>
        <family val="2"/>
      </rPr>
      <t xml:space="preserve"> xdried</t>
    </r>
  </si>
  <si>
    <r>
      <rPr>
        <sz val="11"/>
        <color rgb="FF000000"/>
        <rFont val="Calibri"/>
        <family val="2"/>
      </rPr>
      <t xml:space="preserve">Gidon MAD, M&amp;H, </t>
    </r>
    <r>
      <rPr>
        <u/>
        <sz val="11"/>
        <color rgb="FF1155CC"/>
        <rFont val="Calibri"/>
        <family val="2"/>
      </rPr>
      <t>foodemissions.com/Calculator</t>
    </r>
    <r>
      <rPr>
        <sz val="11"/>
        <color rgb="FF000000"/>
        <rFont val="Calibri"/>
        <family val="2"/>
      </rPr>
      <t xml:space="preserve">, </t>
    </r>
    <r>
      <rPr>
        <u/>
        <sz val="11"/>
        <color rgb="FF1155CC"/>
        <rFont val="Calibri"/>
        <family val="2"/>
      </rPr>
      <t>http://nutritiondata.self.com/facts/fruits-and-fruit-juices/1817/2</t>
    </r>
  </si>
  <si>
    <r>
      <rPr>
        <sz val="11"/>
        <rFont val="Calibri"/>
        <family val="2"/>
      </rPr>
      <t xml:space="preserve">1.25*barley, hulled; Additional Calculations; Gidon MAD, M&amp;H, </t>
    </r>
    <r>
      <rPr>
        <u/>
        <sz val="11"/>
        <color rgb="FF1155CC"/>
        <rFont val="Calibri"/>
        <family val="2"/>
      </rPr>
      <t>http://www.foodemissions.com/Calculator</t>
    </r>
  </si>
  <si>
    <r>
      <rPr>
        <sz val="11"/>
        <rFont val="Calibri"/>
        <family val="2"/>
      </rPr>
      <t xml:space="preserve">0.3474576271*barley, hulled; Additional Calculations; Gidon MAD, M&amp;H, </t>
    </r>
    <r>
      <rPr>
        <u/>
        <sz val="11"/>
        <color rgb="FF1155CC"/>
        <rFont val="Calibri"/>
        <family val="2"/>
      </rPr>
      <t>http://www.foodemissions.com/Calculator</t>
    </r>
  </si>
  <si>
    <r>
      <rPr>
        <sz val="11"/>
        <rFont val="Calibri"/>
        <family val="2"/>
      </rPr>
      <t xml:space="preserve">1.758364312*all-purpose flour; Additional Calculations; Gidon MAD, M&amp;H, </t>
    </r>
    <r>
      <rPr>
        <u/>
        <sz val="11"/>
        <color rgb="FF1155CC"/>
        <rFont val="Calibri"/>
        <family val="2"/>
      </rPr>
      <t>http://www.foodemissions.com/Calculator</t>
    </r>
    <r>
      <rPr>
        <sz val="11"/>
        <rFont val="Calibri"/>
        <family val="2"/>
      </rPr>
      <t xml:space="preserve">; Gidon Correspondence </t>
    </r>
  </si>
  <si>
    <r>
      <rPr>
        <sz val="11"/>
        <rFont val="Calibri"/>
        <family val="2"/>
      </rPr>
      <t xml:space="preserve">Additional Calculations; Gidon MAD, M&amp;H, </t>
    </r>
    <r>
      <rPr>
        <u/>
        <sz val="11"/>
        <color rgb="FF1155CC"/>
        <rFont val="Calibri"/>
        <family val="2"/>
      </rPr>
      <t>http://www.foodemissions.com/Calculator</t>
    </r>
    <r>
      <rPr>
        <sz val="11"/>
        <rFont val="Calibri"/>
        <family val="2"/>
      </rPr>
      <t xml:space="preserve">; Gidon Correspondence </t>
    </r>
  </si>
  <si>
    <r>
      <rPr>
        <sz val="11"/>
        <rFont val="Calibri"/>
        <family val="2"/>
      </rPr>
      <t xml:space="preserve">Additional Calculations; Gidon MAD, M&amp;H, </t>
    </r>
    <r>
      <rPr>
        <u/>
        <sz val="11"/>
        <color rgb="FF1155CC"/>
        <rFont val="Calibri"/>
        <family val="2"/>
      </rPr>
      <t>http://www.foodemissions.com/Calculator</t>
    </r>
    <r>
      <rPr>
        <sz val="11"/>
        <rFont val="Calibri"/>
        <family val="2"/>
      </rPr>
      <t>; USDA</t>
    </r>
  </si>
  <si>
    <r>
      <rPr>
        <sz val="11"/>
        <rFont val="Calibri"/>
        <family val="2"/>
      </rPr>
      <t xml:space="preserve">same as all-purpose flour; Gidon Correspondence; Additional Calculations; Gidon MAD, M&amp;H, </t>
    </r>
    <r>
      <rPr>
        <u/>
        <sz val="11"/>
        <color rgb="FF1155CC"/>
        <rFont val="Calibri"/>
        <family val="2"/>
      </rPr>
      <t>http://www.foodemissions.com/Calculator</t>
    </r>
  </si>
  <si>
    <r>
      <rPr>
        <sz val="11"/>
        <rFont val="Calibri"/>
        <family val="2"/>
      </rPr>
      <t xml:space="preserve">0.05*all-purpose flour; Additional Calculations; Gidon MAD, M&amp;H, </t>
    </r>
    <r>
      <rPr>
        <u/>
        <sz val="11"/>
        <color rgb="FF1155CC"/>
        <rFont val="Calibri"/>
        <family val="2"/>
      </rPr>
      <t>http://www.foodemissions.com/Calculator</t>
    </r>
    <r>
      <rPr>
        <sz val="11"/>
        <rFont val="Calibri"/>
        <family val="2"/>
      </rPr>
      <t xml:space="preserve">; Gidon Correspondence </t>
    </r>
  </si>
  <si>
    <r>
      <rPr>
        <sz val="11"/>
        <rFont val="Calibri"/>
        <family val="2"/>
      </rPr>
      <t xml:space="preserve">0.05*all-purpose flourAdditional Calculations; Gidon MAD, M&amp;H, </t>
    </r>
    <r>
      <rPr>
        <u/>
        <sz val="11"/>
        <color rgb="FF1155CC"/>
        <rFont val="Calibri"/>
        <family val="2"/>
      </rPr>
      <t>http://www.foodemissions.com/Calculator</t>
    </r>
    <r>
      <rPr>
        <sz val="11"/>
        <rFont val="Calibri"/>
        <family val="2"/>
      </rPr>
      <t xml:space="preserve">; Gidon Correspondence </t>
    </r>
  </si>
  <si>
    <r>
      <rPr>
        <sz val="11"/>
        <rFont val="Calibri"/>
        <family val="2"/>
      </rPr>
      <t xml:space="preserve">6.225977469*all-purpose flourAdditional Calculations; Gidon MAD, M&amp;H, </t>
    </r>
    <r>
      <rPr>
        <u/>
        <sz val="11"/>
        <color rgb="FF1155CC"/>
        <rFont val="Calibri"/>
        <family val="2"/>
      </rPr>
      <t>http://www.foodemissions.com/Calculator</t>
    </r>
    <r>
      <rPr>
        <sz val="11"/>
        <rFont val="Calibri"/>
        <family val="2"/>
      </rPr>
      <t xml:space="preserve">; Gidon Correspondence </t>
    </r>
  </si>
  <si>
    <r>
      <rPr>
        <sz val="11"/>
        <rFont val="Calibri"/>
        <family val="2"/>
      </rPr>
      <t xml:space="preserve">Gidon MAD; M&amp;H; </t>
    </r>
    <r>
      <rPr>
        <u/>
        <sz val="11"/>
        <color rgb="FF1155CC"/>
        <rFont val="Calibri"/>
        <family val="2"/>
      </rPr>
      <t>foodemissions.com</t>
    </r>
    <r>
      <rPr>
        <sz val="11"/>
        <rFont val="Calibri"/>
        <family val="2"/>
      </rPr>
      <t>; nur11.sas.dd: "bean11d" = "VEGETABLES - Beans or Lentils"; FFQ variable names joint.xlsx: "values for BEANS KIDNEY ALL TYPES MATURE SEEDS RAW"; Gidon Correspondence</t>
    </r>
  </si>
  <si>
    <r>
      <rPr>
        <sz val="11"/>
        <color rgb="FF000000"/>
        <rFont val="Calibri"/>
        <family val="2"/>
      </rPr>
      <t xml:space="preserve">Gidon MAD; M&amp;H; </t>
    </r>
    <r>
      <rPr>
        <u/>
        <sz val="11"/>
        <color rgb="FF1155CC"/>
        <rFont val="Calibri"/>
        <family val="2"/>
      </rPr>
      <t>foodemissions.com</t>
    </r>
  </si>
  <si>
    <r>
      <rPr>
        <sz val="11"/>
        <rFont val="Calibri"/>
        <family val="2"/>
      </rPr>
      <t xml:space="preserve">Additional Calculations; Gidon MAD; M&amp;H; </t>
    </r>
    <r>
      <rPr>
        <u/>
        <sz val="11"/>
        <color rgb="FF1155CC"/>
        <rFont val="Calibri"/>
        <family val="2"/>
      </rPr>
      <t>foodemissions.com</t>
    </r>
    <r>
      <rPr>
        <sz val="11"/>
        <rFont val="Calibri"/>
        <family val="2"/>
      </rPr>
      <t>;FFQ variable names joint.xlsx description: "potatoes, mashed or baked" &lt;https://docs.google.com/spreadsheets/d/1BbCL2gri47aPSb-v94zeByl8WBLT57MgapxjyGb_fLA/edit#gid=1214142331&gt;</t>
    </r>
  </si>
  <si>
    <r>
      <rPr>
        <sz val="11"/>
        <rFont val="Calibri"/>
        <family val="2"/>
      </rPr>
      <t xml:space="preserve">Additional Calculations; Gidon MAD; M&amp;H; </t>
    </r>
    <r>
      <rPr>
        <u/>
        <sz val="11"/>
        <color rgb="FF1155CC"/>
        <rFont val="Calibri"/>
        <family val="2"/>
      </rPr>
      <t>foodemissions.com</t>
    </r>
  </si>
  <si>
    <r>
      <rPr>
        <sz val="11"/>
        <rFont val="Calibri"/>
        <family val="2"/>
      </rPr>
      <t xml:space="preserve">Additional Calculations; Gidon MAD; M&amp;H; </t>
    </r>
    <r>
      <rPr>
        <u/>
        <sz val="11"/>
        <color rgb="FF1155CC"/>
        <rFont val="Calibri"/>
        <family val="2"/>
      </rPr>
      <t>foodemissions.com</t>
    </r>
    <r>
      <rPr>
        <sz val="11"/>
        <rFont val="Calibri"/>
        <family val="2"/>
      </rPr>
      <t>; FFQ variable names joint.xlsx: "garl"</t>
    </r>
  </si>
  <si>
    <r>
      <rPr>
        <sz val="11"/>
        <color rgb="FF000000"/>
        <rFont val="Calibri"/>
        <family val="2"/>
      </rPr>
      <t xml:space="preserve">Additional Calculations; Gidon MAD; M&amp;H; </t>
    </r>
    <r>
      <rPr>
        <u/>
        <sz val="11"/>
        <color rgb="FF1155CC"/>
        <rFont val="Calibri"/>
        <family val="2"/>
      </rPr>
      <t>foodemissions.com</t>
    </r>
  </si>
  <si>
    <r>
      <rPr>
        <sz val="11"/>
        <rFont val="Calibri"/>
        <family val="2"/>
      </rPr>
      <t xml:space="preserve">Additional Calculations; Gidon MAD; M&amp;H;  </t>
    </r>
    <r>
      <rPr>
        <u/>
        <sz val="11"/>
        <color rgb="FF1155CC"/>
        <rFont val="Calibri"/>
        <family val="2"/>
      </rPr>
      <t>foodemissions.com</t>
    </r>
    <r>
      <rPr>
        <sz val="11"/>
        <rFont val="Calibri"/>
        <family val="2"/>
      </rPr>
      <t>;FFQ variable names joint.xlsx "rspin" and "spin"; Caloric ratio is equivalent based on USDA FoodData Central</t>
    </r>
  </si>
  <si>
    <r>
      <rPr>
        <sz val="11"/>
        <rFont val="Calibri"/>
        <family val="2"/>
      </rPr>
      <t xml:space="preserve">Additional Calculations; Gidon MAD; M&amp;H;  </t>
    </r>
    <r>
      <rPr>
        <u/>
        <sz val="11"/>
        <color rgb="FF1155CC"/>
        <rFont val="Calibri"/>
        <family val="2"/>
      </rPr>
      <t>foodemissions.com</t>
    </r>
    <r>
      <rPr>
        <sz val="11"/>
        <rFont val="Calibri"/>
        <family val="2"/>
      </rPr>
      <t>; USDA Food data central; FFQ variable names joint.xlsx description: "yellow squash" BOILED, DRAINED, UNSALTED SUMMER SQUASH</t>
    </r>
  </si>
  <si>
    <r>
      <rPr>
        <sz val="11"/>
        <rFont val="Calibri"/>
        <family val="2"/>
      </rPr>
      <t xml:space="preserve">Additional Calculations; Gidon MAD; M&amp;H; </t>
    </r>
    <r>
      <rPr>
        <u/>
        <sz val="11"/>
        <color rgb="FF1155CC"/>
        <rFont val="Calibri"/>
        <family val="2"/>
      </rPr>
      <t>foodemissions.com</t>
    </r>
    <r>
      <rPr>
        <sz val="11"/>
        <rFont val="Calibri"/>
        <family val="2"/>
      </rPr>
      <t>; nur11.sas.dd: tom11d = "VEGETABLES - Tomatoes (L26)"</t>
    </r>
  </si>
  <si>
    <r>
      <t>vegetables</t>
    </r>
    <r>
      <rPr>
        <sz val="11"/>
        <color rgb="FF000000"/>
        <rFont val="Calibri"/>
        <family val="2"/>
      </rPr>
      <t>, dried</t>
    </r>
  </si>
  <si>
    <t>assumed 50% ice pop+50% ice cream--&gt; 50% sugar +17% sugar 17% milk fat and 17% milk</t>
  </si>
  <si>
    <t>assumed 80% grains+20% sugar</t>
  </si>
  <si>
    <t>assume 50% poultry and 50% meat</t>
  </si>
  <si>
    <t>assumed red and processed meat</t>
  </si>
  <si>
    <t xml:space="preserve">assumed 40% flour 35% cheese, veg 15% (tomato) and then 10% veg oils </t>
  </si>
  <si>
    <t xml:space="preserve"> mean of enviro rows 34-37</t>
  </si>
  <si>
    <t>scaling factor</t>
  </si>
  <si>
    <t>g protein/g</t>
  </si>
  <si>
    <t>Animal portion of UPFs</t>
  </si>
  <si>
    <t>Range</t>
  </si>
  <si>
    <t>diets</t>
  </si>
</sst>
</file>

<file path=xl/styles.xml><?xml version="1.0" encoding="utf-8"?>
<styleSheet xmlns="http://schemas.openxmlformats.org/spreadsheetml/2006/main" xmlns:r="http://schemas.openxmlformats.org/officeDocument/2006/relationships" xmlns:xdr="http://schemas.openxmlformats.org/drawingml/2006/spreadsheetDrawing">
  <numFmts count="14">
    <numFmt numFmtId="43" formatCode="_(* #,##0.00_);_(* \(#,##0.00\);_(* &quot;-&quot;??_);_(@_)"/>
    <numFmt numFmtId="164" formatCode="0.0"/>
    <numFmt numFmtId="165" formatCode="0.000"/>
    <numFmt numFmtId="166" formatCode="0.0000000000"/>
    <numFmt numFmtId="167" formatCode="0.000000000"/>
    <numFmt numFmtId="168" formatCode="#,##0.000000000000"/>
    <numFmt numFmtId="169" formatCode="0.000000"/>
    <numFmt numFmtId="170" formatCode="m\-d"/>
    <numFmt numFmtId="171" formatCode="0.00000000"/>
    <numFmt numFmtId="172" formatCode="#,##0.0000000000000"/>
    <numFmt numFmtId="173" formatCode="#,##0.0000000000"/>
    <numFmt numFmtId="174" formatCode="0.0000000000000"/>
    <numFmt numFmtId="175" formatCode="0.00000"/>
    <numFmt numFmtId="176" formatCode="0.000000000000"/>
  </numFmts>
  <fonts count="56">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0"/>
      <color theme="1"/>
      <name val="Arial"/>
      <family val="2"/>
    </font>
    <font>
      <b/>
      <sz val="10"/>
      <color theme="1"/>
      <name val="Arial"/>
      <family val="2"/>
    </font>
    <font>
      <u/>
      <sz val="10"/>
      <color rgb="FF1155CC"/>
      <name val="Arial"/>
      <family val="2"/>
    </font>
    <font>
      <b/>
      <sz val="10"/>
      <color theme="1"/>
      <name val="Calibri"/>
      <family val="2"/>
      <scheme val="minor"/>
    </font>
    <font>
      <sz val="10"/>
      <color theme="1"/>
      <name val="Calibri"/>
      <family val="2"/>
      <scheme val="minor"/>
    </font>
    <font>
      <b/>
      <sz val="10"/>
      <color theme="1"/>
      <name val="arial,sans,sans-serif"/>
    </font>
    <font>
      <i/>
      <sz val="10"/>
      <color theme="1"/>
      <name val="arial,sans,sans-serif"/>
    </font>
    <font>
      <sz val="10"/>
      <color rgb="FF000000"/>
      <name val="Arial"/>
      <family val="2"/>
    </font>
    <font>
      <i/>
      <sz val="10"/>
      <color theme="1"/>
      <name val="Calibri"/>
      <family val="2"/>
      <scheme val="minor"/>
    </font>
    <font>
      <b/>
      <sz val="10"/>
      <color rgb="FF000000"/>
      <name val="Arial"/>
      <family val="2"/>
    </font>
    <font>
      <sz val="10"/>
      <color rgb="FFFFFFFF"/>
      <name val="Calibri"/>
      <family val="2"/>
      <scheme val="minor"/>
    </font>
    <font>
      <strike/>
      <sz val="10"/>
      <color theme="1"/>
      <name val="Calibri"/>
      <family val="2"/>
      <scheme val="minor"/>
    </font>
    <font>
      <sz val="10"/>
      <color rgb="FF000000"/>
      <name val="Calibri"/>
      <family val="2"/>
      <scheme val="minor"/>
    </font>
    <font>
      <sz val="10"/>
      <color rgb="FF1155CC"/>
      <name val="Arial"/>
      <family val="2"/>
    </font>
    <font>
      <strike/>
      <sz val="10"/>
      <color rgb="FF000000"/>
      <name val="Arial"/>
      <family val="2"/>
    </font>
    <font>
      <strike/>
      <sz val="10"/>
      <color theme="1"/>
      <name val="Arial"/>
      <family val="2"/>
    </font>
    <font>
      <i/>
      <strike/>
      <sz val="10"/>
      <color theme="1"/>
      <name val="Calibri"/>
      <family val="2"/>
      <scheme val="minor"/>
    </font>
    <font>
      <sz val="11"/>
      <color rgb="FF000000"/>
      <name val="Calibri"/>
      <family val="2"/>
      <scheme val="minor"/>
    </font>
    <font>
      <sz val="10"/>
      <color rgb="FF000000"/>
      <name val="Calibri"/>
      <family val="2"/>
    </font>
    <font>
      <b/>
      <sz val="11"/>
      <color theme="1"/>
      <name val="Georgia"/>
      <family val="1"/>
    </font>
    <font>
      <sz val="11"/>
      <color theme="1"/>
      <name val="Georgia"/>
      <family val="1"/>
    </font>
    <font>
      <u/>
      <sz val="11"/>
      <color theme="1"/>
      <name val="Calibri"/>
      <family val="2"/>
      <scheme val="minor"/>
    </font>
    <font>
      <b/>
      <sz val="11"/>
      <color rgb="FF000000"/>
      <name val="Calibri"/>
      <family val="2"/>
      <scheme val="minor"/>
    </font>
    <font>
      <sz val="15"/>
      <color rgb="FF000000"/>
      <name val="Arial"/>
      <family val="2"/>
    </font>
    <font>
      <sz val="11"/>
      <color rgb="FFFF2D00"/>
      <name val="Calibri"/>
      <family val="2"/>
      <scheme val="minor"/>
    </font>
    <font>
      <sz val="18"/>
      <color rgb="FF44546A"/>
      <name val="Calibri Light"/>
      <family val="2"/>
    </font>
    <font>
      <sz val="11"/>
      <color theme="1"/>
      <name val="Calibri"/>
      <family val="2"/>
    </font>
    <font>
      <b/>
      <sz val="11"/>
      <color theme="1"/>
      <name val="Arial"/>
      <family val="2"/>
    </font>
    <font>
      <sz val="11"/>
      <color rgb="FF1F1F1F"/>
      <name val="Calibri"/>
      <family val="2"/>
      <scheme val="minor"/>
    </font>
    <font>
      <sz val="11"/>
      <color rgb="FF000000"/>
      <name val="Calibri"/>
      <family val="2"/>
    </font>
    <font>
      <b/>
      <sz val="11"/>
      <color theme="1"/>
      <name val="Calibri"/>
      <family val="2"/>
    </font>
    <font>
      <b/>
      <sz val="11"/>
      <color rgb="FF000000"/>
      <name val="Calibri"/>
      <family val="2"/>
    </font>
    <font>
      <u/>
      <sz val="11"/>
      <color rgb="FF0000FF"/>
      <name val="Calibri"/>
      <family val="2"/>
    </font>
    <font>
      <sz val="11"/>
      <name val="Calibri"/>
      <family val="2"/>
    </font>
    <font>
      <u/>
      <sz val="11"/>
      <color rgb="FF1155CC"/>
      <name val="Calibri"/>
      <family val="2"/>
    </font>
    <font>
      <sz val="11"/>
      <color rgb="FF222222"/>
      <name val="Calibri"/>
      <family val="2"/>
    </font>
    <font>
      <u/>
      <sz val="11"/>
      <color rgb="FF000000"/>
      <name val="Calibri"/>
      <family val="2"/>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4"/>
        <bgColor indexed="65"/>
      </patternFill>
    </fill>
    <fill>
      <patternFill patternType="solid">
        <fgColor theme="4" tint="0.59996337778863"/>
        <bgColor indexed="65"/>
      </patternFill>
    </fill>
    <fill>
      <patternFill patternType="solid">
        <fgColor theme="4" tint="0.39997558519242"/>
        <bgColor indexed="65"/>
      </patternFill>
    </fill>
    <fill>
      <patternFill patternType="solid">
        <fgColor theme="5"/>
      </patternFill>
    </fill>
    <fill>
      <patternFill patternType="solid">
        <fgColor theme="5" tint="0.79995117038484"/>
        <bgColor indexed="65"/>
      </patternFill>
    </fill>
    <fill>
      <patternFill patternType="solid">
        <fgColor theme="5" tint="0.59996337778863"/>
        <bgColor indexed="65"/>
      </patternFill>
    </fill>
    <fill>
      <patternFill patternType="solid">
        <fgColor theme="5" tint="0.39997558519242"/>
        <bgColor indexed="65"/>
      </patternFill>
    </fill>
    <fill>
      <patternFill patternType="solid">
        <fgColor theme="6"/>
      </patternFill>
    </fill>
    <fill>
      <patternFill patternType="solid">
        <fgColor theme="6" tint="0.79995117038484"/>
        <bgColor indexed="65"/>
      </patternFill>
    </fill>
    <fill>
      <patternFill patternType="solid">
        <fgColor theme="6" tint="0.59996337778863"/>
        <bgColor indexed="65"/>
      </patternFill>
    </fill>
    <fill>
      <patternFill patternType="solid">
        <fgColor theme="6" tint="0.39997558519242"/>
        <bgColor indexed="65"/>
      </patternFill>
    </fill>
    <fill>
      <patternFill patternType="solid">
        <fgColor theme="7"/>
      </patternFill>
    </fill>
    <fill>
      <patternFill patternType="solid">
        <fgColor theme="7" tint="0.79995117038484"/>
        <bgColor indexed="65"/>
      </patternFill>
    </fill>
    <fill>
      <patternFill patternType="solid">
        <fgColor theme="7" tint="0.59996337778863"/>
        <bgColor indexed="65"/>
      </patternFill>
    </fill>
    <fill>
      <patternFill patternType="solid">
        <fgColor theme="7" tint="0.39997558519242"/>
        <bgColor indexed="65"/>
      </patternFill>
    </fill>
    <fill>
      <patternFill patternType="solid">
        <fgColor theme="8"/>
      </patternFill>
    </fill>
    <fill>
      <patternFill patternType="solid">
        <fgColor theme="8" tint="0.79995117038484"/>
        <bgColor indexed="65"/>
      </patternFill>
    </fill>
    <fill>
      <patternFill patternType="solid">
        <fgColor theme="8" tint="0.59996337778863"/>
        <bgColor indexed="65"/>
      </patternFill>
    </fill>
    <fill>
      <patternFill patternType="solid">
        <fgColor theme="8" tint="0.39997558519242"/>
        <bgColor indexed="65"/>
      </patternFill>
    </fill>
    <fill>
      <patternFill patternType="solid">
        <fgColor theme="9"/>
      </patternFill>
    </fill>
    <fill>
      <patternFill patternType="solid">
        <fgColor theme="9" tint="0.79995117038484"/>
        <bgColor indexed="65"/>
      </patternFill>
    </fill>
    <fill>
      <patternFill patternType="solid">
        <fgColor theme="9" tint="0.59996337778863"/>
        <bgColor indexed="65"/>
      </patternFill>
    </fill>
    <fill>
      <patternFill patternType="solid">
        <fgColor theme="9" tint="0.39997558519242"/>
        <bgColor indexed="65"/>
      </patternFill>
    </fill>
    <fill>
      <patternFill patternType="solid">
        <fgColor rgb="FFFFFFFF"/>
        <bgColor rgb="FFFFFFFF"/>
      </patternFill>
    </fill>
    <fill>
      <patternFill patternType="solid">
        <fgColor rgb="FF999999"/>
        <bgColor rgb="FF999999"/>
      </patternFill>
    </fill>
    <fill>
      <patternFill patternType="solid">
        <fgColor rgb="FFB7B7B7"/>
        <bgColor rgb="FFB7B7B7"/>
      </patternFill>
    </fill>
    <fill>
      <patternFill patternType="solid">
        <fgColor rgb="FFFFFF00"/>
        <bgColor rgb="FFFFFF00"/>
      </patternFill>
    </fill>
    <fill>
      <patternFill patternType="solid">
        <fgColor rgb="FF000000"/>
        <bgColor rgb="FF000000"/>
      </patternFill>
    </fill>
    <fill>
      <patternFill patternType="solid">
        <fgColor theme="8" tint="0.39997558519242"/>
        <bgColor indexed="64"/>
      </patternFill>
    </fill>
    <fill>
      <patternFill patternType="solid">
        <fgColor theme="0" tint="-0.14999847407453"/>
        <bgColor indexed="64"/>
      </patternFill>
    </fill>
    <fill>
      <patternFill patternType="solid">
        <fgColor theme="6"/>
        <bgColor indexed="64"/>
      </patternFill>
    </fill>
    <fill>
      <patternFill patternType="solid">
        <fgColor theme="9" tint="-0.24994659260842"/>
        <bgColor indexed="64"/>
      </patternFill>
    </fill>
    <fill>
      <patternFill patternType="solid">
        <fgColor rgb="FFD89B3D"/>
        <bgColor indexed="64"/>
      </patternFill>
    </fill>
    <fill>
      <patternFill patternType="solid">
        <fgColor rgb="FFE97A7C"/>
        <bgColor indexed="64"/>
      </patternFill>
    </fill>
    <fill>
      <patternFill patternType="solid">
        <fgColor rgb="FFF4133B"/>
        <bgColor indexed="64"/>
      </patternFill>
    </fill>
    <fill>
      <patternFill patternType="solid">
        <fgColor rgb="FFD11218"/>
        <bgColor indexed="64"/>
      </patternFill>
    </fill>
    <fill>
      <patternFill patternType="solid">
        <fgColor rgb="FFB01625"/>
        <bgColor indexed="64"/>
      </patternFill>
    </fill>
  </fills>
  <borders count="43">
    <border>
      <left/>
      <right/>
      <top/>
      <bottom/>
      <diagonal/>
    </border>
    <border>
      <left/>
      <right/>
      <top/>
      <bottom style="thick">
        <color theme="4"/>
      </bottom>
      <diagonal/>
    </border>
    <border>
      <left/>
      <right/>
      <top/>
      <bottom style="thick">
        <color theme="4" tint="0.49995422223579"/>
      </bottom>
      <diagonal/>
    </border>
    <border>
      <left/>
      <right/>
      <top/>
      <bottom style="medium">
        <color theme="4" tint="0.3999755851924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rgb="FF000000"/>
      </left>
      <right/>
      <top/>
      <bottom/>
      <diagonal/>
    </border>
    <border>
      <left/>
      <right style="thick">
        <color rgb="FF000000"/>
      </right>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bottom/>
      <diagonal/>
    </border>
    <border>
      <left style="thick">
        <color rgb="FF000000"/>
      </left>
      <right style="thick">
        <color rgb="FF000000"/>
      </right>
      <top style="thick">
        <color rgb="FF000000"/>
      </top>
      <bottom style="thick">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style="thick">
        <color rgb="FF000000"/>
      </right>
      <top style="thick">
        <color rgb="FF000000"/>
      </top>
      <bottom/>
      <diagonal/>
    </border>
    <border>
      <left style="thick">
        <color rgb="FF000000"/>
      </left>
      <right style="thick">
        <color rgb="FF000000"/>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right/>
      <top style="thick">
        <color rgb="FF000000"/>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top/>
      <bottom style="medium">
        <color indexed="64"/>
      </bottom>
      <diagonal/>
    </border>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borders>
  <cellStyleXfs count="45">
    <xf numFmtId="0" fontId="0" fillId="0" borderId="0"/>
    <xf numFmtId="0" fontId="2" fillId="0" borderId="0" applyNumberFormat="false" applyFill="false" applyBorder="false" applyAlignment="false" applyProtection="false"/>
    <xf numFmtId="0" fontId="3" fillId="0" borderId="1" applyNumberFormat="false" applyFill="false" applyAlignment="false" applyProtection="false"/>
    <xf numFmtId="0" fontId="4" fillId="0" borderId="2" applyNumberFormat="false" applyFill="false" applyAlignment="false" applyProtection="false"/>
    <xf numFmtId="0" fontId="5" fillId="0" borderId="3" applyNumberFormat="false" applyFill="false" applyAlignment="false" applyProtection="false"/>
    <xf numFmtId="0" fontId="5" fillId="0" borderId="0" applyNumberFormat="false" applyFill="false" applyBorder="false" applyAlignment="false" applyProtection="false"/>
    <xf numFmtId="0" fontId="6" fillId="2" borderId="0" applyNumberFormat="false" applyBorder="false" applyAlignment="false" applyProtection="false"/>
    <xf numFmtId="0" fontId="7" fillId="3" borderId="0" applyNumberFormat="false" applyBorder="false" applyAlignment="false" applyProtection="false"/>
    <xf numFmtId="0" fontId="8" fillId="4" borderId="0" applyNumberFormat="false" applyBorder="false" applyAlignment="false" applyProtection="false"/>
    <xf numFmtId="0" fontId="9" fillId="5" borderId="4" applyNumberFormat="false" applyAlignment="false" applyProtection="false"/>
    <xf numFmtId="0" fontId="10" fillId="6" borderId="5" applyNumberFormat="false" applyAlignment="false" applyProtection="false"/>
    <xf numFmtId="0" fontId="11" fillId="6" borderId="4" applyNumberFormat="false" applyAlignment="false" applyProtection="false"/>
    <xf numFmtId="0" fontId="12" fillId="0" borderId="6" applyNumberFormat="false" applyFill="false" applyAlignment="false" applyProtection="false"/>
    <xf numFmtId="0" fontId="13" fillId="7" borderId="7" applyNumberFormat="false" applyAlignment="false" applyProtection="false"/>
    <xf numFmtId="0" fontId="14" fillId="0" borderId="0" applyNumberFormat="false" applyFill="false" applyBorder="false" applyAlignment="false" applyProtection="false"/>
    <xf numFmtId="0" fontId="1" fillId="8" borderId="8" applyNumberFormat="false" applyFont="false" applyAlignment="false" applyProtection="false"/>
    <xf numFmtId="0" fontId="15" fillId="0" borderId="0" applyNumberFormat="false" applyFill="false" applyBorder="false" applyAlignment="false" applyProtection="false"/>
    <xf numFmtId="0" fontId="16" fillId="0" borderId="9" applyNumberFormat="false" applyFill="false" applyAlignment="false" applyProtection="false"/>
    <xf numFmtId="0" fontId="17" fillId="9" borderId="0" applyNumberFormat="false" applyBorder="false" applyAlignment="false" applyProtection="false"/>
    <xf numFmtId="0" fontId="1" fillId="10" borderId="0" applyNumberFormat="false" applyBorder="false" applyAlignment="false" applyProtection="false"/>
    <xf numFmtId="0" fontId="1" fillId="11" borderId="0" applyNumberFormat="false" applyBorder="false" applyAlignment="false" applyProtection="false"/>
    <xf numFmtId="0" fontId="17" fillId="12" borderId="0" applyNumberFormat="false" applyBorder="false" applyAlignment="false" applyProtection="false"/>
    <xf numFmtId="0" fontId="17" fillId="13" borderId="0" applyNumberFormat="false" applyBorder="false" applyAlignment="false" applyProtection="false"/>
    <xf numFmtId="0" fontId="1" fillId="14" borderId="0" applyNumberFormat="false" applyBorder="false" applyAlignment="false" applyProtection="false"/>
    <xf numFmtId="0" fontId="1" fillId="15" borderId="0" applyNumberFormat="false" applyBorder="false" applyAlignment="false" applyProtection="false"/>
    <xf numFmtId="0" fontId="17" fillId="16" borderId="0" applyNumberFormat="false" applyBorder="false" applyAlignment="false" applyProtection="false"/>
    <xf numFmtId="0" fontId="17" fillId="17" borderId="0" applyNumberFormat="false" applyBorder="false" applyAlignment="false" applyProtection="false"/>
    <xf numFmtId="0" fontId="1" fillId="18" borderId="0" applyNumberFormat="false" applyBorder="false" applyAlignment="false" applyProtection="false"/>
    <xf numFmtId="0" fontId="1" fillId="19" borderId="0" applyNumberFormat="false" applyBorder="false" applyAlignment="false" applyProtection="false"/>
    <xf numFmtId="0" fontId="17" fillId="20" borderId="0" applyNumberFormat="false" applyBorder="false" applyAlignment="false" applyProtection="false"/>
    <xf numFmtId="0" fontId="17" fillId="21" borderId="0" applyNumberFormat="false" applyBorder="false" applyAlignment="false" applyProtection="false"/>
    <xf numFmtId="0" fontId="1" fillId="22" borderId="0" applyNumberFormat="false" applyBorder="false" applyAlignment="false" applyProtection="false"/>
    <xf numFmtId="0" fontId="1" fillId="23" borderId="0" applyNumberFormat="false" applyBorder="false" applyAlignment="false" applyProtection="false"/>
    <xf numFmtId="0" fontId="17" fillId="24" borderId="0" applyNumberFormat="false" applyBorder="false" applyAlignment="false" applyProtection="false"/>
    <xf numFmtId="0" fontId="17" fillId="25" borderId="0" applyNumberFormat="false" applyBorder="false" applyAlignment="false" applyProtection="false"/>
    <xf numFmtId="0" fontId="1" fillId="26" borderId="0" applyNumberFormat="false" applyBorder="false" applyAlignment="false" applyProtection="false"/>
    <xf numFmtId="0" fontId="1" fillId="27" borderId="0" applyNumberFormat="false" applyBorder="false" applyAlignment="false" applyProtection="false"/>
    <xf numFmtId="0" fontId="17" fillId="28" borderId="0" applyNumberFormat="false" applyBorder="false" applyAlignment="false" applyProtection="false"/>
    <xf numFmtId="0" fontId="17" fillId="29" borderId="0" applyNumberFormat="false" applyBorder="false" applyAlignment="false" applyProtection="false"/>
    <xf numFmtId="0" fontId="1" fillId="30" borderId="0" applyNumberFormat="false" applyBorder="false" applyAlignment="false" applyProtection="false"/>
    <xf numFmtId="0" fontId="1" fillId="31" borderId="0" applyNumberFormat="false" applyBorder="false" applyAlignment="false" applyProtection="false"/>
    <xf numFmtId="0" fontId="17" fillId="32" borderId="0" applyNumberFormat="false" applyBorder="false" applyAlignment="false" applyProtection="false"/>
    <xf numFmtId="0" fontId="18" fillId="0" borderId="0" applyNumberFormat="false" applyFill="false" applyBorder="false" applyAlignment="false" applyProtection="false"/>
    <xf numFmtId="43" fontId="1" fillId="0" borderId="0" applyFont="false" applyFill="false" applyBorder="false" applyAlignment="false" applyProtection="false"/>
    <xf numFmtId="9" fontId="1" fillId="0" borderId="0" applyFont="false" applyFill="false" applyBorder="false" applyAlignment="false" applyProtection="false"/>
  </cellStyleXfs>
  <cellXfs count="364">
    <xf numFmtId="0" fontId="0" fillId="0" borderId="0" xfId="0"/>
    <xf numFmtId="0" fontId="16" fillId="0" borderId="0" xfId="0" applyFont="true"/>
    <xf numFmtId="0" fontId="19" fillId="0" borderId="0" xfId="0" applyFont="true"/>
    <xf numFmtId="0" fontId="21" fillId="0" borderId="0" xfId="0" applyFont="true"/>
    <xf numFmtId="0" fontId="19" fillId="0" borderId="0" xfId="0" applyFont="true" applyAlignment="true">
      <alignment wrapText="true"/>
    </xf>
    <xf numFmtId="167" fontId="20" fillId="0" borderId="0" xfId="0" applyNumberFormat="true" applyFont="true" applyAlignment="true">
      <alignment wrapText="true"/>
    </xf>
    <xf numFmtId="0" fontId="20" fillId="0" borderId="10" xfId="0" applyFont="true" applyBorder="true" applyAlignment="true">
      <alignment wrapText="true"/>
    </xf>
    <xf numFmtId="168" fontId="20" fillId="0" borderId="10" xfId="0" applyNumberFormat="true" applyFont="true" applyBorder="true" applyAlignment="true">
      <alignment wrapText="true"/>
    </xf>
    <xf numFmtId="168" fontId="20" fillId="0" borderId="0" xfId="0" applyNumberFormat="true" applyFont="true" applyAlignment="true">
      <alignment wrapText="true"/>
    </xf>
    <xf numFmtId="168" fontId="20" fillId="0" borderId="11" xfId="0" applyNumberFormat="true" applyFont="true" applyBorder="true" applyAlignment="true">
      <alignment wrapText="true"/>
    </xf>
    <xf numFmtId="0" fontId="22" fillId="0" borderId="12" xfId="0" applyFont="true" applyBorder="true" applyAlignment="true">
      <alignment wrapText="true"/>
    </xf>
    <xf numFmtId="2" fontId="20" fillId="0" borderId="13" xfId="0" applyNumberFormat="true" applyFont="true" applyBorder="true" applyAlignment="true">
      <alignment wrapText="true"/>
    </xf>
    <xf numFmtId="2" fontId="20" fillId="0" borderId="0" xfId="0" applyNumberFormat="true" applyFont="true" applyAlignment="true">
      <alignment horizontal="left" wrapText="true"/>
    </xf>
    <xf numFmtId="4" fontId="22" fillId="0" borderId="15" xfId="0" applyNumberFormat="true" applyFont="true" applyBorder="true" applyAlignment="true">
      <alignment wrapText="true"/>
    </xf>
    <xf numFmtId="4" fontId="22" fillId="0" borderId="14" xfId="0" applyNumberFormat="true" applyFont="true" applyBorder="true" applyAlignment="true">
      <alignment wrapText="true"/>
    </xf>
    <xf numFmtId="4" fontId="22" fillId="0" borderId="16" xfId="0" applyNumberFormat="true" applyFont="true" applyBorder="true" applyAlignment="true">
      <alignment wrapText="true"/>
    </xf>
    <xf numFmtId="0" fontId="26" fillId="0" borderId="0" xfId="0" applyFont="true"/>
    <xf numFmtId="167" fontId="19" fillId="0" borderId="0" xfId="0" applyNumberFormat="true" applyFont="true" applyAlignment="true">
      <alignment horizontal="left"/>
    </xf>
    <xf numFmtId="0" fontId="23" fillId="0" borderId="10" xfId="0" applyFont="true" applyBorder="true"/>
    <xf numFmtId="168" fontId="19" fillId="0" borderId="10" xfId="0" applyNumberFormat="true" applyFont="true" applyBorder="true" applyAlignment="true">
      <alignment horizontal="left"/>
    </xf>
    <xf numFmtId="168" fontId="19" fillId="0" borderId="0" xfId="0" applyNumberFormat="true" applyFont="true" applyAlignment="true">
      <alignment horizontal="left"/>
    </xf>
    <xf numFmtId="168" fontId="19" fillId="0" borderId="11" xfId="0" applyNumberFormat="true" applyFont="true" applyBorder="true" applyAlignment="true">
      <alignment horizontal="left"/>
    </xf>
    <xf numFmtId="3" fontId="19" fillId="0" borderId="0" xfId="0" applyNumberFormat="true" applyFont="true" applyAlignment="true">
      <alignment horizontal="left"/>
    </xf>
    <xf numFmtId="0" fontId="23" fillId="0" borderId="17" xfId="0" applyFont="true" applyBorder="true"/>
    <xf numFmtId="169" fontId="23" fillId="0" borderId="17" xfId="0" applyNumberFormat="true" applyFont="true" applyBorder="true"/>
    <xf numFmtId="169" fontId="23" fillId="0" borderId="18" xfId="0" applyNumberFormat="true" applyFont="true" applyBorder="true"/>
    <xf numFmtId="169" fontId="23" fillId="0" borderId="19" xfId="0" applyNumberFormat="true" applyFont="true" applyBorder="true"/>
    <xf numFmtId="2" fontId="23" fillId="0" borderId="0" xfId="0" applyNumberFormat="true" applyFont="true"/>
    <xf numFmtId="3" fontId="19" fillId="0" borderId="17" xfId="0" applyNumberFormat="true" applyFont="true" applyBorder="true" applyAlignment="true">
      <alignment horizontal="left"/>
    </xf>
    <xf numFmtId="3" fontId="19" fillId="0" borderId="20" xfId="0" applyNumberFormat="true" applyFont="true" applyBorder="true" applyAlignment="true">
      <alignment horizontal="left"/>
    </xf>
    <xf numFmtId="4" fontId="23" fillId="0" borderId="15" xfId="0" applyNumberFormat="true" applyFont="true" applyBorder="true"/>
    <xf numFmtId="4" fontId="23" fillId="0" borderId="20" xfId="0" applyNumberFormat="true" applyFont="true" applyBorder="true"/>
    <xf numFmtId="166" fontId="19" fillId="0" borderId="10" xfId="0" applyNumberFormat="true" applyFont="true" applyBorder="true" applyAlignment="true">
      <alignment horizontal="right"/>
    </xf>
    <xf numFmtId="166" fontId="19" fillId="0" borderId="0" xfId="0" applyNumberFormat="true" applyFont="true" applyAlignment="true">
      <alignment horizontal="right"/>
    </xf>
    <xf numFmtId="167" fontId="19" fillId="0" borderId="0" xfId="0" applyNumberFormat="true" applyFont="true" applyAlignment="true">
      <alignment horizontal="right"/>
    </xf>
    <xf numFmtId="166" fontId="23" fillId="0" borderId="0" xfId="0" applyNumberFormat="true" applyFont="true" applyAlignment="true">
      <alignment horizontal="right"/>
    </xf>
    <xf numFmtId="166" fontId="19" fillId="0" borderId="11" xfId="0" applyNumberFormat="true" applyFont="true" applyBorder="true" applyAlignment="true">
      <alignment horizontal="right"/>
    </xf>
    <xf numFmtId="0" fontId="22" fillId="0" borderId="10" xfId="0" applyFont="true" applyBorder="true"/>
    <xf numFmtId="0" fontId="27" fillId="0" borderId="10" xfId="0" applyFont="true" applyBorder="true"/>
    <xf numFmtId="169" fontId="23" fillId="0" borderId="10" xfId="0" applyNumberFormat="true" applyFont="true" applyBorder="true"/>
    <xf numFmtId="169" fontId="23" fillId="0" borderId="0" xfId="0" applyNumberFormat="true" applyFont="true"/>
    <xf numFmtId="169" fontId="23" fillId="0" borderId="11" xfId="0" applyNumberFormat="true" applyFont="true" applyBorder="true"/>
    <xf numFmtId="3" fontId="19" fillId="0" borderId="10" xfId="0" applyNumberFormat="true" applyFont="true" applyBorder="true" applyAlignment="true">
      <alignment horizontal="left"/>
    </xf>
    <xf numFmtId="3" fontId="19" fillId="0" borderId="15" xfId="0" applyNumberFormat="true" applyFont="true" applyBorder="true" applyAlignment="true">
      <alignment horizontal="left"/>
    </xf>
    <xf numFmtId="167" fontId="23" fillId="0" borderId="0" xfId="0" applyNumberFormat="true" applyFont="true" applyAlignment="true">
      <alignment horizontal="right"/>
    </xf>
    <xf numFmtId="166" fontId="23" fillId="0" borderId="10" xfId="0" applyNumberFormat="true" applyFont="true" applyBorder="true" applyAlignment="true">
      <alignment horizontal="right"/>
    </xf>
    <xf numFmtId="166" fontId="23" fillId="0" borderId="11" xfId="0" applyNumberFormat="true" applyFont="true" applyBorder="true" applyAlignment="true">
      <alignment horizontal="right"/>
    </xf>
    <xf numFmtId="0" fontId="23" fillId="0" borderId="15" xfId="0" applyFont="true" applyBorder="true"/>
    <xf numFmtId="167" fontId="23" fillId="0" borderId="0" xfId="0" applyNumberFormat="true" applyFont="true" applyAlignment="true">
      <alignment horizontal="left"/>
    </xf>
    <xf numFmtId="0" fontId="19" fillId="0" borderId="15" xfId="0" applyFont="true" applyBorder="true"/>
    <xf numFmtId="169" fontId="19" fillId="0" borderId="0" xfId="0" applyNumberFormat="true" applyFont="true" applyAlignment="true">
      <alignment horizontal="right"/>
    </xf>
    <xf numFmtId="169" fontId="19" fillId="0" borderId="11" xfId="0" applyNumberFormat="true" applyFont="true" applyBorder="true" applyAlignment="true">
      <alignment horizontal="right"/>
    </xf>
    <xf numFmtId="0" fontId="23" fillId="0" borderId="21" xfId="0" applyFont="true" applyBorder="true"/>
    <xf numFmtId="169" fontId="23" fillId="0" borderId="22" xfId="0" applyNumberFormat="true" applyFont="true" applyBorder="true"/>
    <xf numFmtId="169" fontId="23" fillId="0" borderId="23" xfId="0" applyNumberFormat="true" applyFont="true" applyBorder="true"/>
    <xf numFmtId="3" fontId="19" fillId="0" borderId="24" xfId="0" applyNumberFormat="true" applyFont="true" applyBorder="true" applyAlignment="true">
      <alignment horizontal="left"/>
    </xf>
    <xf numFmtId="3" fontId="19" fillId="0" borderId="21" xfId="0" applyNumberFormat="true" applyFont="true" applyBorder="true" applyAlignment="true">
      <alignment horizontal="left"/>
    </xf>
    <xf numFmtId="4" fontId="23" fillId="0" borderId="21" xfId="0" applyNumberFormat="true" applyFont="true" applyBorder="true"/>
    <xf numFmtId="4" fontId="23" fillId="0" borderId="0" xfId="0" applyNumberFormat="true" applyFont="true"/>
    <xf numFmtId="1" fontId="19" fillId="0" borderId="0" xfId="0" applyNumberFormat="true" applyFont="true"/>
    <xf numFmtId="1" fontId="29" fillId="0" borderId="0" xfId="0" applyNumberFormat="true" applyFont="true"/>
    <xf numFmtId="1" fontId="23" fillId="0" borderId="0" xfId="0" applyNumberFormat="true" applyFont="true"/>
    <xf numFmtId="171" fontId="19" fillId="0" borderId="0" xfId="0" applyNumberFormat="true" applyFont="true"/>
    <xf numFmtId="171" fontId="23" fillId="0" borderId="0" xfId="0" applyNumberFormat="true" applyFont="true"/>
    <xf numFmtId="0" fontId="23" fillId="0" borderId="0" xfId="0" applyFont="true"/>
    <xf numFmtId="171" fontId="19" fillId="34" borderId="0" xfId="0" applyNumberFormat="true" applyFont="true" applyFill="true"/>
    <xf numFmtId="171" fontId="19" fillId="35" borderId="0" xfId="0" applyNumberFormat="true" applyFont="true" applyFill="true"/>
    <xf numFmtId="0" fontId="22" fillId="36" borderId="10" xfId="0" applyFont="true" applyFill="true" applyBorder="true"/>
    <xf numFmtId="0" fontId="28" fillId="0" borderId="0" xfId="0" applyFont="true"/>
    <xf numFmtId="171" fontId="26" fillId="34" borderId="0" xfId="0" applyNumberFormat="true" applyFont="true" applyFill="true"/>
    <xf numFmtId="0" fontId="30" fillId="0" borderId="0" xfId="0" applyFont="true"/>
    <xf numFmtId="2" fontId="30" fillId="0" borderId="0" xfId="0" applyNumberFormat="true" applyFont="true"/>
    <xf numFmtId="2" fontId="19" fillId="0" borderId="0" xfId="0" applyNumberFormat="true" applyFont="true"/>
    <xf numFmtId="167" fontId="23" fillId="0" borderId="0" xfId="0" applyNumberFormat="true" applyFont="true"/>
    <xf numFmtId="167" fontId="26" fillId="0" borderId="0" xfId="0" applyNumberFormat="true" applyFont="true" applyAlignment="true">
      <alignment horizontal="left"/>
    </xf>
    <xf numFmtId="0" fontId="19" fillId="0" borderId="10" xfId="0" applyFont="true" applyBorder="true"/>
    <xf numFmtId="4" fontId="19" fillId="0" borderId="0" xfId="0" applyNumberFormat="true" applyFont="true"/>
    <xf numFmtId="0" fontId="23" fillId="0" borderId="11" xfId="0" applyFont="true" applyBorder="true"/>
    <xf numFmtId="0" fontId="19" fillId="0" borderId="22" xfId="0" applyFont="true" applyBorder="true"/>
    <xf numFmtId="0" fontId="26" fillId="0" borderId="22" xfId="0" applyFont="true" applyBorder="true"/>
    <xf numFmtId="166" fontId="19" fillId="0" borderId="24" xfId="0" applyNumberFormat="true" applyFont="true" applyBorder="true" applyAlignment="true">
      <alignment horizontal="right"/>
    </xf>
    <xf numFmtId="166" fontId="19" fillId="0" borderId="22" xfId="0" applyNumberFormat="true" applyFont="true" applyBorder="true" applyAlignment="true">
      <alignment horizontal="right"/>
    </xf>
    <xf numFmtId="167" fontId="19" fillId="0" borderId="22" xfId="0" applyNumberFormat="true" applyFont="true" applyBorder="true" applyAlignment="true">
      <alignment horizontal="right"/>
    </xf>
    <xf numFmtId="166" fontId="23" fillId="0" borderId="22" xfId="0" applyNumberFormat="true" applyFont="true" applyBorder="true" applyAlignment="true">
      <alignment horizontal="right"/>
    </xf>
    <xf numFmtId="166" fontId="19" fillId="0" borderId="23" xfId="0" applyNumberFormat="true" applyFont="true" applyBorder="true" applyAlignment="true">
      <alignment horizontal="right"/>
    </xf>
    <xf numFmtId="167" fontId="19" fillId="0" borderId="22" xfId="0" applyNumberFormat="true" applyFont="true" applyBorder="true" applyAlignment="true">
      <alignment horizontal="left"/>
    </xf>
    <xf numFmtId="0" fontId="23" fillId="0" borderId="24" xfId="0" applyFont="true" applyBorder="true"/>
    <xf numFmtId="168" fontId="19" fillId="0" borderId="24" xfId="0" applyNumberFormat="true" applyFont="true" applyBorder="true" applyAlignment="true">
      <alignment horizontal="left"/>
    </xf>
    <xf numFmtId="168" fontId="19" fillId="0" borderId="22" xfId="0" applyNumberFormat="true" applyFont="true" applyBorder="true" applyAlignment="true">
      <alignment horizontal="left"/>
    </xf>
    <xf numFmtId="168" fontId="19" fillId="0" borderId="23" xfId="0" applyNumberFormat="true" applyFont="true" applyBorder="true" applyAlignment="true">
      <alignment horizontal="left"/>
    </xf>
    <xf numFmtId="3" fontId="19" fillId="0" borderId="22" xfId="0" applyNumberFormat="true" applyFont="true" applyBorder="true" applyAlignment="true">
      <alignment horizontal="left"/>
    </xf>
    <xf numFmtId="0" fontId="23" fillId="0" borderId="22" xfId="0" applyFont="true" applyBorder="true"/>
    <xf numFmtId="2" fontId="23" fillId="0" borderId="22" xfId="0" applyNumberFormat="true" applyFont="true" applyBorder="true"/>
    <xf numFmtId="4" fontId="23" fillId="0" borderId="22" xfId="0" applyNumberFormat="true" applyFont="true" applyBorder="true"/>
    <xf numFmtId="3" fontId="19" fillId="0" borderId="11" xfId="0" applyNumberFormat="true" applyFont="true" applyBorder="true" applyAlignment="true">
      <alignment horizontal="left"/>
    </xf>
    <xf numFmtId="167" fontId="19" fillId="0" borderId="0" xfId="0" applyNumberFormat="true" applyFont="true"/>
    <xf numFmtId="3" fontId="19" fillId="0" borderId="10" xfId="0" applyNumberFormat="true" applyFont="true" applyBorder="true"/>
    <xf numFmtId="3" fontId="19" fillId="0" borderId="0" xfId="0" applyNumberFormat="true" applyFont="true"/>
    <xf numFmtId="3" fontId="19" fillId="0" borderId="11" xfId="0" applyNumberFormat="true" applyFont="true" applyBorder="true"/>
    <xf numFmtId="3" fontId="23" fillId="0" borderId="10" xfId="0" applyNumberFormat="true" applyFont="true" applyBorder="true"/>
    <xf numFmtId="3" fontId="23" fillId="0" borderId="0" xfId="0" applyNumberFormat="true" applyFont="true"/>
    <xf numFmtId="3" fontId="23" fillId="0" borderId="11" xfId="0" applyNumberFormat="true" applyFont="true" applyBorder="true"/>
    <xf numFmtId="167" fontId="31" fillId="0" borderId="0" xfId="0" applyNumberFormat="true" applyFont="true"/>
    <xf numFmtId="0" fontId="23" fillId="0" borderId="0" xfId="0" applyFont="true" applyAlignment="true">
      <alignment wrapText="true"/>
    </xf>
    <xf numFmtId="0" fontId="31" fillId="0" borderId="0" xfId="0" applyFont="true"/>
    <xf numFmtId="3" fontId="20" fillId="0" borderId="10" xfId="0" applyNumberFormat="true" applyFont="true" applyBorder="true" applyAlignment="true">
      <alignment wrapText="true"/>
    </xf>
    <xf numFmtId="172" fontId="23" fillId="0" borderId="10" xfId="0" applyNumberFormat="true" applyFont="true" applyBorder="true"/>
    <xf numFmtId="3" fontId="20" fillId="0" borderId="0" xfId="0" applyNumberFormat="true" applyFont="true" applyAlignment="true">
      <alignment wrapText="true"/>
    </xf>
    <xf numFmtId="173" fontId="23" fillId="0" borderId="0" xfId="0" applyNumberFormat="true" applyFont="true" applyAlignment="true">
      <alignment horizontal="left"/>
    </xf>
    <xf numFmtId="0" fontId="19" fillId="0" borderId="13" xfId="0" applyFont="true" applyBorder="true"/>
    <xf numFmtId="166" fontId="19" fillId="0" borderId="12" xfId="0" applyNumberFormat="true" applyFont="true" applyBorder="true" applyAlignment="true">
      <alignment horizontal="right"/>
    </xf>
    <xf numFmtId="166" fontId="19" fillId="0" borderId="13" xfId="0" applyNumberFormat="true" applyFont="true" applyBorder="true" applyAlignment="true">
      <alignment horizontal="right"/>
    </xf>
    <xf numFmtId="167" fontId="23" fillId="0" borderId="13" xfId="0" applyNumberFormat="true" applyFont="true" applyBorder="true" applyAlignment="true">
      <alignment horizontal="right"/>
    </xf>
    <xf numFmtId="166" fontId="23" fillId="0" borderId="13" xfId="0" applyNumberFormat="true" applyFont="true" applyBorder="true" applyAlignment="true">
      <alignment horizontal="right"/>
    </xf>
    <xf numFmtId="166" fontId="19" fillId="0" borderId="14" xfId="0" applyNumberFormat="true" applyFont="true" applyBorder="true" applyAlignment="true">
      <alignment horizontal="right"/>
    </xf>
    <xf numFmtId="0" fontId="19" fillId="0" borderId="12" xfId="0" applyFont="true" applyBorder="true"/>
    <xf numFmtId="0" fontId="32" fillId="0" borderId="0" xfId="0" applyFont="true"/>
    <xf numFmtId="0" fontId="29" fillId="0" borderId="0" xfId="0" applyFont="true"/>
    <xf numFmtId="0" fontId="29" fillId="37" borderId="0" xfId="0" applyFont="true" applyFill="true"/>
    <xf numFmtId="172" fontId="19" fillId="0" borderId="10" xfId="0" applyNumberFormat="true" applyFont="true" applyBorder="true"/>
    <xf numFmtId="174" fontId="19" fillId="0" borderId="0" xfId="0" applyNumberFormat="true" applyFont="true" applyAlignment="true">
      <alignment horizontal="right"/>
    </xf>
    <xf numFmtId="172" fontId="19" fillId="0" borderId="0" xfId="0" applyNumberFormat="true" applyFont="true"/>
    <xf numFmtId="167" fontId="19" fillId="0" borderId="10" xfId="0" applyNumberFormat="true" applyFont="true" applyBorder="true"/>
    <xf numFmtId="167" fontId="23" fillId="0" borderId="11" xfId="0" applyNumberFormat="true" applyFont="true" applyBorder="true" applyAlignment="true">
      <alignment horizontal="left"/>
    </xf>
    <xf numFmtId="0" fontId="33" fillId="0" borderId="0" xfId="0" applyFont="true"/>
    <xf numFmtId="0" fontId="34" fillId="0" borderId="0" xfId="0" applyFont="true"/>
    <xf numFmtId="166" fontId="30" fillId="0" borderId="10" xfId="0" applyNumberFormat="true" applyFont="true" applyBorder="true" applyAlignment="true">
      <alignment horizontal="right"/>
    </xf>
    <xf numFmtId="166" fontId="30" fillId="0" borderId="0" xfId="0" applyNumberFormat="true" applyFont="true" applyAlignment="true">
      <alignment horizontal="right"/>
    </xf>
    <xf numFmtId="166" fontId="34" fillId="0" borderId="0" xfId="0" applyNumberFormat="true" applyFont="true" applyAlignment="true">
      <alignment horizontal="right"/>
    </xf>
    <xf numFmtId="167" fontId="34" fillId="0" borderId="0" xfId="0" applyNumberFormat="true" applyFont="true" applyAlignment="true">
      <alignment horizontal="right"/>
    </xf>
    <xf numFmtId="166" fontId="30" fillId="0" borderId="11" xfId="0" applyNumberFormat="true" applyFont="true" applyBorder="true" applyAlignment="true">
      <alignment horizontal="right"/>
    </xf>
    <xf numFmtId="0" fontId="33" fillId="0" borderId="10" xfId="0" applyFont="true" applyBorder="true"/>
    <xf numFmtId="167" fontId="34" fillId="0" borderId="0" xfId="0" applyNumberFormat="true" applyFont="true" applyAlignment="true">
      <alignment horizontal="left"/>
    </xf>
    <xf numFmtId="0" fontId="30" fillId="0" borderId="10" xfId="0" applyFont="true" applyBorder="true"/>
    <xf numFmtId="167" fontId="34" fillId="0" borderId="10" xfId="0" applyNumberFormat="true" applyFont="true" applyBorder="true" applyAlignment="true">
      <alignment horizontal="left"/>
    </xf>
    <xf numFmtId="167" fontId="34" fillId="0" borderId="11" xfId="0" applyNumberFormat="true" applyFont="true" applyBorder="true" applyAlignment="true">
      <alignment horizontal="left"/>
    </xf>
    <xf numFmtId="4" fontId="30" fillId="0" borderId="0" xfId="0" applyNumberFormat="true" applyFont="true"/>
    <xf numFmtId="0" fontId="35" fillId="0" borderId="0" xfId="0" applyFont="true"/>
    <xf numFmtId="166" fontId="35" fillId="0" borderId="10" xfId="0" applyNumberFormat="true" applyFont="true" applyBorder="true" applyAlignment="true">
      <alignment horizontal="right"/>
    </xf>
    <xf numFmtId="166" fontId="35" fillId="0" borderId="0" xfId="0" applyNumberFormat="true" applyFont="true" applyAlignment="true">
      <alignment horizontal="right"/>
    </xf>
    <xf numFmtId="167" fontId="35" fillId="0" borderId="0" xfId="0" applyNumberFormat="true" applyFont="true" applyAlignment="true">
      <alignment horizontal="right"/>
    </xf>
    <xf numFmtId="166" fontId="35" fillId="0" borderId="11" xfId="0" applyNumberFormat="true" applyFont="true" applyBorder="true" applyAlignment="true">
      <alignment horizontal="right"/>
    </xf>
    <xf numFmtId="167" fontId="30" fillId="0" borderId="0" xfId="0" applyNumberFormat="true" applyFont="true" applyAlignment="true">
      <alignment horizontal="left"/>
    </xf>
    <xf numFmtId="167" fontId="30" fillId="0" borderId="10" xfId="0" applyNumberFormat="true" applyFont="true" applyBorder="true" applyAlignment="true">
      <alignment horizontal="left"/>
    </xf>
    <xf numFmtId="167" fontId="30" fillId="0" borderId="11" xfId="0" applyNumberFormat="true" applyFont="true" applyBorder="true" applyAlignment="true">
      <alignment horizontal="left"/>
    </xf>
    <xf numFmtId="167" fontId="23" fillId="0" borderId="10" xfId="0" applyNumberFormat="true" applyFont="true" applyBorder="true" applyAlignment="true">
      <alignment horizontal="left"/>
    </xf>
    <xf numFmtId="167" fontId="19" fillId="0" borderId="11" xfId="0" applyNumberFormat="true" applyFont="true" applyBorder="true"/>
    <xf numFmtId="0" fontId="19" fillId="0" borderId="24" xfId="0" applyFont="true" applyBorder="true"/>
    <xf numFmtId="0" fontId="38" fillId="0" borderId="0" xfId="0" applyFont="true"/>
    <xf numFmtId="0" fontId="39" fillId="0" borderId="0" xfId="0" applyFont="true"/>
    <xf numFmtId="0" fontId="40" fillId="0" borderId="0" xfId="42" applyFont="true"/>
    <xf numFmtId="0" fontId="36" fillId="0" borderId="0" xfId="0" applyFont="true"/>
    <xf numFmtId="164" fontId="28" fillId="0" borderId="0" xfId="0" applyNumberFormat="true" applyFont="true"/>
    <xf numFmtId="1" fontId="41" fillId="0" borderId="0" xfId="0" applyNumberFormat="true" applyFont="true"/>
    <xf numFmtId="0" fontId="42" fillId="0" borderId="0" xfId="0" applyFont="true"/>
    <xf numFmtId="2" fontId="28" fillId="0" borderId="0" xfId="0" applyNumberFormat="true" applyFont="true"/>
    <xf numFmtId="1" fontId="28" fillId="0" borderId="0" xfId="0" applyNumberFormat="true" applyFont="true"/>
    <xf numFmtId="164" fontId="41" fillId="0" borderId="0" xfId="0" applyNumberFormat="true" applyFont="true"/>
    <xf numFmtId="2" fontId="41" fillId="0" borderId="0" xfId="0" applyNumberFormat="true" applyFont="true"/>
    <xf numFmtId="164" fontId="36" fillId="0" borderId="0" xfId="0" applyNumberFormat="true" applyFont="true"/>
    <xf numFmtId="1" fontId="36" fillId="0" borderId="0" xfId="0" applyNumberFormat="true" applyFont="true"/>
    <xf numFmtId="0" fontId="16" fillId="0" borderId="25" xfId="0" applyFont="true" applyBorder="true"/>
    <xf numFmtId="0" fontId="26" fillId="0" borderId="25" xfId="0" applyFont="true" applyBorder="true"/>
    <xf numFmtId="0" fontId="28" fillId="0" borderId="25" xfId="0" applyFont="true" applyBorder="true" applyAlignment="true">
      <alignment wrapText="true"/>
    </xf>
    <xf numFmtId="0" fontId="28" fillId="0" borderId="25" xfId="0" applyFont="true" applyBorder="true"/>
    <xf numFmtId="0" fontId="28" fillId="0" borderId="28" xfId="0" applyFont="true" applyBorder="true"/>
    <xf numFmtId="0" fontId="26" fillId="0" borderId="29" xfId="0" applyFont="true" applyBorder="true"/>
    <xf numFmtId="0" fontId="26" fillId="0" borderId="28" xfId="0" applyFont="true" applyBorder="true"/>
    <xf numFmtId="0" fontId="36" fillId="0" borderId="28" xfId="0" applyFont="true" applyBorder="true"/>
    <xf numFmtId="0" fontId="28" fillId="0" borderId="30" xfId="0" applyFont="true" applyBorder="true"/>
    <xf numFmtId="0" fontId="28" fillId="0" borderId="31" xfId="0" applyFont="true" applyBorder="true"/>
    <xf numFmtId="0" fontId="26" fillId="0" borderId="30" xfId="0" applyFont="true" applyBorder="true"/>
    <xf numFmtId="1" fontId="41" fillId="0" borderId="30" xfId="0" applyNumberFormat="true" applyFont="true" applyBorder="true"/>
    <xf numFmtId="0" fontId="36" fillId="0" borderId="30" xfId="0" applyFont="true" applyBorder="true"/>
    <xf numFmtId="1" fontId="28" fillId="0" borderId="30" xfId="0" applyNumberFormat="true" applyFont="true" applyBorder="true"/>
    <xf numFmtId="164" fontId="28" fillId="0" borderId="30" xfId="0" applyNumberFormat="true" applyFont="true" applyBorder="true"/>
    <xf numFmtId="9" fontId="0" fillId="0" borderId="0" xfId="44" applyFont="true"/>
    <xf numFmtId="0" fontId="18" fillId="0" borderId="0" xfId="42"/>
    <xf numFmtId="0" fontId="16" fillId="38" borderId="32" xfId="0" applyFont="true" applyFill="true" applyBorder="true" applyAlignment="true">
      <alignment wrapText="true"/>
    </xf>
    <xf numFmtId="0" fontId="16" fillId="38" borderId="32" xfId="0" applyFont="true" applyFill="true" applyBorder="true"/>
    <xf numFmtId="0" fontId="16" fillId="38" borderId="35" xfId="0" applyFont="true" applyFill="true" applyBorder="true"/>
    <xf numFmtId="164" fontId="16" fillId="38" borderId="0" xfId="0" applyNumberFormat="true" applyFont="true" applyFill="true"/>
    <xf numFmtId="1" fontId="16" fillId="38" borderId="0" xfId="0" applyNumberFormat="true" applyFont="true" applyFill="true"/>
    <xf numFmtId="0" fontId="16" fillId="39" borderId="32" xfId="0" applyFont="true" applyFill="true" applyBorder="true"/>
    <xf numFmtId="0" fontId="16" fillId="39" borderId="34" xfId="0" applyFont="true" applyFill="true" applyBorder="true"/>
    <xf numFmtId="0" fontId="16" fillId="40" borderId="0" xfId="0" applyFont="true" applyFill="true" applyAlignment="true">
      <alignment wrapText="true"/>
    </xf>
    <xf numFmtId="0" fontId="16" fillId="40" borderId="25" xfId="0" applyFont="true" applyFill="true" applyBorder="true" applyAlignment="true">
      <alignment wrapText="true"/>
    </xf>
    <xf numFmtId="0" fontId="16" fillId="40" borderId="25" xfId="0" applyFont="true" applyFill="true" applyBorder="true"/>
    <xf numFmtId="0" fontId="18" fillId="0" borderId="0" xfId="42" quotePrefix="true"/>
    <xf numFmtId="2" fontId="0" fillId="39" borderId="0" xfId="43" quotePrefix="true" applyNumberFormat="true" applyFont="true" applyFill="true"/>
    <xf numFmtId="0" fontId="16" fillId="41" borderId="32" xfId="0" applyFont="true" applyFill="true" applyBorder="true" applyAlignment="true">
      <alignment wrapText="true"/>
    </xf>
    <xf numFmtId="0" fontId="16" fillId="41" borderId="32" xfId="0" applyFont="true" applyFill="true" applyBorder="true"/>
    <xf numFmtId="164" fontId="16" fillId="41" borderId="0" xfId="0" applyNumberFormat="true" applyFont="true" applyFill="true"/>
    <xf numFmtId="0" fontId="43" fillId="41" borderId="0" xfId="0" applyFont="true" applyFill="true"/>
    <xf numFmtId="1" fontId="16" fillId="41" borderId="0" xfId="0" applyNumberFormat="true" applyFont="true" applyFill="true"/>
    <xf numFmtId="0" fontId="16" fillId="42" borderId="32" xfId="0" applyFont="true" applyFill="true" applyBorder="true" applyAlignment="true">
      <alignment wrapText="true"/>
    </xf>
    <xf numFmtId="0" fontId="16" fillId="42" borderId="32" xfId="0" applyFont="true" applyFill="true" applyBorder="true"/>
    <xf numFmtId="164" fontId="16" fillId="42" borderId="0" xfId="0" applyNumberFormat="true" applyFont="true" applyFill="true"/>
    <xf numFmtId="1" fontId="16" fillId="42" borderId="0" xfId="0" applyNumberFormat="true" applyFont="true" applyFill="true"/>
    <xf numFmtId="9" fontId="0" fillId="42" borderId="0" xfId="44" applyFont="true" applyFill="true"/>
    <xf numFmtId="0" fontId="16" fillId="43" borderId="32" xfId="0" applyFont="true" applyFill="true" applyBorder="true" applyAlignment="true">
      <alignment wrapText="true"/>
    </xf>
    <xf numFmtId="0" fontId="16" fillId="43" borderId="32" xfId="0" applyFont="true" applyFill="true" applyBorder="true"/>
    <xf numFmtId="164" fontId="16" fillId="43" borderId="0" xfId="0" applyNumberFormat="true" applyFont="true" applyFill="true"/>
    <xf numFmtId="1" fontId="16" fillId="43" borderId="0" xfId="0" applyNumberFormat="true" applyFont="true" applyFill="true"/>
    <xf numFmtId="0" fontId="16" fillId="44" borderId="32" xfId="0" applyFont="true" applyFill="true" applyBorder="true" applyAlignment="true">
      <alignment wrapText="true"/>
    </xf>
    <xf numFmtId="0" fontId="16" fillId="44" borderId="32" xfId="0" applyFont="true" applyFill="true" applyBorder="true"/>
    <xf numFmtId="164" fontId="16" fillId="44" borderId="0" xfId="0" applyNumberFormat="true" applyFont="true" applyFill="true"/>
    <xf numFmtId="1" fontId="16" fillId="44" borderId="0" xfId="0" applyNumberFormat="true" applyFont="true" applyFill="true"/>
    <xf numFmtId="0" fontId="16" fillId="45" borderId="32" xfId="0" applyFont="true" applyFill="true" applyBorder="true" applyAlignment="true">
      <alignment wrapText="true"/>
    </xf>
    <xf numFmtId="0" fontId="16" fillId="45" borderId="32" xfId="0" applyFont="true" applyFill="true" applyBorder="true"/>
    <xf numFmtId="164" fontId="16" fillId="45" borderId="0" xfId="0" applyNumberFormat="true" applyFont="true" applyFill="true"/>
    <xf numFmtId="0" fontId="43" fillId="45" borderId="0" xfId="0" applyFont="true" applyFill="true"/>
    <xf numFmtId="1" fontId="16" fillId="45" borderId="0" xfId="0" applyNumberFormat="true" applyFont="true" applyFill="true"/>
    <xf numFmtId="0" fontId="16" fillId="46" borderId="32" xfId="0" applyFont="true" applyFill="true" applyBorder="true" applyAlignment="true">
      <alignment wrapText="true"/>
    </xf>
    <xf numFmtId="0" fontId="16" fillId="46" borderId="32" xfId="0" applyFont="true" applyFill="true" applyBorder="true"/>
    <xf numFmtId="164" fontId="16" fillId="46" borderId="0" xfId="0" applyNumberFormat="true" applyFont="true" applyFill="true"/>
    <xf numFmtId="0" fontId="43" fillId="46" borderId="0" xfId="0" applyFont="true" applyFill="true"/>
    <xf numFmtId="1" fontId="16" fillId="46" borderId="0" xfId="0" applyNumberFormat="true" applyFont="true" applyFill="true"/>
    <xf numFmtId="0" fontId="0" fillId="40" borderId="0" xfId="0" applyFill="true"/>
    <xf numFmtId="0" fontId="0" fillId="38" borderId="0" xfId="0" applyFill="true"/>
    <xf numFmtId="0" fontId="0" fillId="43" borderId="0" xfId="0" applyFill="true"/>
    <xf numFmtId="2" fontId="46" fillId="39" borderId="32" xfId="0" applyNumberFormat="true" applyFont="true" applyFill="true" applyBorder="true" applyAlignment="true">
      <alignment wrapText="true"/>
    </xf>
    <xf numFmtId="2" fontId="46" fillId="39" borderId="34" xfId="0" applyNumberFormat="true" applyFont="true" applyFill="true" applyBorder="true" applyAlignment="true">
      <alignment wrapText="true"/>
    </xf>
    <xf numFmtId="2" fontId="46" fillId="39" borderId="35" xfId="0" applyNumberFormat="true" applyFont="true" applyFill="true" applyBorder="true" applyAlignment="true">
      <alignment wrapText="true"/>
    </xf>
    <xf numFmtId="2" fontId="46" fillId="38" borderId="26" xfId="0" applyNumberFormat="true" applyFont="true" applyFill="true" applyBorder="true" applyAlignment="true">
      <alignment wrapText="true"/>
    </xf>
    <xf numFmtId="2" fontId="46" fillId="38" borderId="27" xfId="0" applyNumberFormat="true" applyFont="true" applyFill="true" applyBorder="true" applyAlignment="true">
      <alignment wrapText="true"/>
    </xf>
    <xf numFmtId="2" fontId="46" fillId="38" borderId="32" xfId="0" applyNumberFormat="true" applyFont="true" applyFill="true" applyBorder="true" applyAlignment="true">
      <alignment wrapText="true"/>
    </xf>
    <xf numFmtId="2" fontId="46" fillId="42" borderId="36" xfId="0" applyNumberFormat="true" applyFont="true" applyFill="true" applyBorder="true" applyAlignment="true">
      <alignment wrapText="true"/>
    </xf>
    <xf numFmtId="2" fontId="46" fillId="42" borderId="25" xfId="0" applyNumberFormat="true" applyFont="true" applyFill="true" applyBorder="true" applyAlignment="true">
      <alignment wrapText="true"/>
    </xf>
    <xf numFmtId="2" fontId="46" fillId="42" borderId="32" xfId="0" applyNumberFormat="true" applyFont="true" applyFill="true" applyBorder="true" applyAlignment="true">
      <alignment wrapText="true"/>
    </xf>
    <xf numFmtId="2" fontId="46" fillId="43" borderId="26" xfId="0" applyNumberFormat="true" applyFont="true" applyFill="true" applyBorder="true" applyAlignment="true">
      <alignment wrapText="true"/>
    </xf>
    <xf numFmtId="2" fontId="46" fillId="43" borderId="27" xfId="0" applyNumberFormat="true" applyFont="true" applyFill="true" applyBorder="true" applyAlignment="true">
      <alignment wrapText="true"/>
    </xf>
    <xf numFmtId="2" fontId="46" fillId="43" borderId="32" xfId="0" applyNumberFormat="true" applyFont="true" applyFill="true" applyBorder="true" applyAlignment="true">
      <alignment wrapText="true"/>
    </xf>
    <xf numFmtId="2" fontId="46" fillId="44" borderId="32" xfId="0" applyNumberFormat="true" applyFont="true" applyFill="true" applyBorder="true" applyAlignment="true">
      <alignment wrapText="true"/>
    </xf>
    <xf numFmtId="2" fontId="46" fillId="44" borderId="34" xfId="0" applyNumberFormat="true" applyFont="true" applyFill="true" applyBorder="true" applyAlignment="true">
      <alignment wrapText="true"/>
    </xf>
    <xf numFmtId="2" fontId="46" fillId="44" borderId="35" xfId="0" applyNumberFormat="true" applyFont="true" applyFill="true" applyBorder="true" applyAlignment="true">
      <alignment wrapText="true"/>
    </xf>
    <xf numFmtId="2" fontId="46" fillId="45" borderId="32" xfId="0" applyNumberFormat="true" applyFont="true" applyFill="true" applyBorder="true" applyAlignment="true">
      <alignment wrapText="true"/>
    </xf>
    <xf numFmtId="2" fontId="46" fillId="45" borderId="34" xfId="0" applyNumberFormat="true" applyFont="true" applyFill="true" applyBorder="true" applyAlignment="true">
      <alignment wrapText="true"/>
    </xf>
    <xf numFmtId="2" fontId="46" fillId="45" borderId="35" xfId="0" applyNumberFormat="true" applyFont="true" applyFill="true" applyBorder="true" applyAlignment="true">
      <alignment wrapText="true"/>
    </xf>
    <xf numFmtId="2" fontId="46" fillId="41" borderId="32" xfId="0" applyNumberFormat="true" applyFont="true" applyFill="true" applyBorder="true" applyAlignment="true">
      <alignment wrapText="true"/>
    </xf>
    <xf numFmtId="2" fontId="46" fillId="41" borderId="34" xfId="0" applyNumberFormat="true" applyFont="true" applyFill="true" applyBorder="true" applyAlignment="true">
      <alignment wrapText="true"/>
    </xf>
    <xf numFmtId="2" fontId="46" fillId="41" borderId="35" xfId="0" applyNumberFormat="true" applyFont="true" applyFill="true" applyBorder="true" applyAlignment="true">
      <alignment wrapText="true"/>
    </xf>
    <xf numFmtId="2" fontId="46" fillId="46" borderId="32" xfId="0" applyNumberFormat="true" applyFont="true" applyFill="true" applyBorder="true" applyAlignment="true">
      <alignment wrapText="true"/>
    </xf>
    <xf numFmtId="2" fontId="46" fillId="46" borderId="34" xfId="0" applyNumberFormat="true" applyFont="true" applyFill="true" applyBorder="true" applyAlignment="true">
      <alignment wrapText="true"/>
    </xf>
    <xf numFmtId="2" fontId="46" fillId="46" borderId="35" xfId="0" applyNumberFormat="true" applyFont="true" applyFill="true" applyBorder="true" applyAlignment="true">
      <alignment wrapText="true"/>
    </xf>
    <xf numFmtId="0" fontId="0" fillId="39" borderId="0" xfId="0" applyFill="true"/>
    <xf numFmtId="0" fontId="0" fillId="0" borderId="28" xfId="0" applyBorder="true"/>
    <xf numFmtId="0" fontId="0" fillId="42" borderId="0" xfId="0" applyFill="true"/>
    <xf numFmtId="0" fontId="0" fillId="44" borderId="0" xfId="0" applyFill="true"/>
    <xf numFmtId="0" fontId="0" fillId="45" borderId="0" xfId="0" applyFill="true"/>
    <xf numFmtId="0" fontId="0" fillId="41" borderId="0" xfId="0" applyFill="true"/>
    <xf numFmtId="0" fontId="0" fillId="46" borderId="0" xfId="0" applyFill="true"/>
    <xf numFmtId="164" fontId="0" fillId="40" borderId="0" xfId="0" applyNumberFormat="true" applyFill="true"/>
    <xf numFmtId="164" fontId="0" fillId="0" borderId="0" xfId="0" applyNumberFormat="true"/>
    <xf numFmtId="2" fontId="0" fillId="39" borderId="0" xfId="0" quotePrefix="true" applyNumberFormat="true" applyFill="true"/>
    <xf numFmtId="2" fontId="0" fillId="39" borderId="0" xfId="0" applyNumberFormat="true" applyFill="true"/>
    <xf numFmtId="165" fontId="0" fillId="39" borderId="0" xfId="0" applyNumberFormat="true" applyFill="true"/>
    <xf numFmtId="164" fontId="0" fillId="38" borderId="0" xfId="0" applyNumberFormat="true" applyFill="true"/>
    <xf numFmtId="2" fontId="0" fillId="38" borderId="0" xfId="0" applyNumberFormat="true" applyFill="true"/>
    <xf numFmtId="164" fontId="0" fillId="42" borderId="0" xfId="0" applyNumberFormat="true" applyFill="true"/>
    <xf numFmtId="2" fontId="0" fillId="42" borderId="0" xfId="0" applyNumberFormat="true" applyFill="true"/>
    <xf numFmtId="164" fontId="0" fillId="43" borderId="0" xfId="0" applyNumberFormat="true" applyFill="true"/>
    <xf numFmtId="2" fontId="0" fillId="43" borderId="0" xfId="0" applyNumberFormat="true" applyFill="true"/>
    <xf numFmtId="165" fontId="0" fillId="43" borderId="0" xfId="0" applyNumberFormat="true" applyFill="true"/>
    <xf numFmtId="164" fontId="0" fillId="44" borderId="0" xfId="0" applyNumberFormat="true" applyFill="true"/>
    <xf numFmtId="2" fontId="0" fillId="44" borderId="0" xfId="0" applyNumberFormat="true" applyFill="true"/>
    <xf numFmtId="165" fontId="0" fillId="44" borderId="0" xfId="0" applyNumberFormat="true" applyFill="true"/>
    <xf numFmtId="164" fontId="0" fillId="45" borderId="0" xfId="0" applyNumberFormat="true" applyFill="true"/>
    <xf numFmtId="2" fontId="0" fillId="45" borderId="0" xfId="0" applyNumberFormat="true" applyFill="true"/>
    <xf numFmtId="165" fontId="0" fillId="45" borderId="0" xfId="0" applyNumberFormat="true" applyFill="true"/>
    <xf numFmtId="164" fontId="0" fillId="41" borderId="0" xfId="0" applyNumberFormat="true" applyFill="true"/>
    <xf numFmtId="2" fontId="0" fillId="41" borderId="0" xfId="0" applyNumberFormat="true" applyFill="true"/>
    <xf numFmtId="165" fontId="0" fillId="41" borderId="0" xfId="0" applyNumberFormat="true" applyFill="true"/>
    <xf numFmtId="164" fontId="0" fillId="46" borderId="0" xfId="0" applyNumberFormat="true" applyFill="true"/>
    <xf numFmtId="2" fontId="0" fillId="46" borderId="0" xfId="0" applyNumberFormat="true" applyFill="true"/>
    <xf numFmtId="165" fontId="0" fillId="46" borderId="0" xfId="0" applyNumberFormat="true" applyFill="true"/>
    <xf numFmtId="2" fontId="0" fillId="0" borderId="0" xfId="0" applyNumberFormat="true"/>
    <xf numFmtId="175" fontId="0" fillId="39" borderId="0" xfId="0" applyNumberFormat="true" applyFill="true"/>
    <xf numFmtId="1" fontId="0" fillId="43" borderId="0" xfId="0" applyNumberFormat="true" applyFill="true"/>
    <xf numFmtId="164" fontId="0" fillId="39" borderId="0" xfId="0" applyNumberFormat="true" applyFill="true"/>
    <xf numFmtId="1" fontId="0" fillId="39" borderId="0" xfId="0" applyNumberFormat="true" applyFill="true"/>
    <xf numFmtId="176" fontId="0" fillId="0" borderId="0" xfId="0" applyNumberFormat="true"/>
    <xf numFmtId="1" fontId="0" fillId="44" borderId="0" xfId="0" applyNumberFormat="true" applyFill="true"/>
    <xf numFmtId="1" fontId="0" fillId="45" borderId="0" xfId="0" applyNumberFormat="true" applyFill="true"/>
    <xf numFmtId="1" fontId="0" fillId="41" borderId="0" xfId="0" applyNumberFormat="true" applyFill="true"/>
    <xf numFmtId="1" fontId="0" fillId="46" borderId="0" xfId="0" applyNumberFormat="true" applyFill="true"/>
    <xf numFmtId="0" fontId="47" fillId="0" borderId="0" xfId="0" applyFont="true" applyAlignment="true">
      <alignment horizontal="left"/>
    </xf>
    <xf numFmtId="0" fontId="18" fillId="0" borderId="0" xfId="42" applyAlignment="true">
      <alignment horizontal="left"/>
    </xf>
    <xf numFmtId="0" fontId="45" fillId="0" borderId="0" xfId="0" applyFont="true"/>
    <xf numFmtId="0" fontId="48" fillId="0" borderId="0" xfId="0" applyFont="true"/>
    <xf numFmtId="0" fontId="45" fillId="0" borderId="0" xfId="0" applyFont="true" applyAlignment="true">
      <alignment wrapText="true"/>
    </xf>
    <xf numFmtId="0" fontId="49" fillId="0" borderId="0" xfId="0" applyFont="true" applyAlignment="true">
      <alignment wrapText="true"/>
    </xf>
    <xf numFmtId="166" fontId="49" fillId="0" borderId="10" xfId="0" applyNumberFormat="true" applyFont="true" applyBorder="true" applyAlignment="true">
      <alignment horizontal="right" wrapText="true"/>
    </xf>
    <xf numFmtId="166" fontId="49" fillId="0" borderId="0" xfId="0" applyNumberFormat="true" applyFont="true" applyAlignment="true">
      <alignment horizontal="right" wrapText="true"/>
    </xf>
    <xf numFmtId="167" fontId="45" fillId="0" borderId="0" xfId="0" applyNumberFormat="true" applyFont="true" applyAlignment="true">
      <alignment horizontal="right" wrapText="true"/>
    </xf>
    <xf numFmtId="167" fontId="49" fillId="0" borderId="0" xfId="0" applyNumberFormat="true" applyFont="true" applyAlignment="true">
      <alignment horizontal="right" wrapText="true"/>
    </xf>
    <xf numFmtId="166" fontId="49" fillId="0" borderId="11" xfId="0" applyNumberFormat="true" applyFont="true" applyBorder="true" applyAlignment="true">
      <alignment horizontal="right" wrapText="true"/>
    </xf>
    <xf numFmtId="167" fontId="49" fillId="0" borderId="0" xfId="0" applyNumberFormat="true" applyFont="true" applyAlignment="true">
      <alignment wrapText="true"/>
    </xf>
    <xf numFmtId="166" fontId="45" fillId="0" borderId="17" xfId="0" applyNumberFormat="true" applyFont="true" applyBorder="true" applyAlignment="true">
      <alignment horizontal="right"/>
    </xf>
    <xf numFmtId="166" fontId="45" fillId="0" borderId="18" xfId="0" applyNumberFormat="true" applyFont="true" applyBorder="true" applyAlignment="true">
      <alignment horizontal="right"/>
    </xf>
    <xf numFmtId="167" fontId="45" fillId="0" borderId="18" xfId="0" applyNumberFormat="true" applyFont="true" applyBorder="true" applyAlignment="true">
      <alignment horizontal="right"/>
    </xf>
    <xf numFmtId="166" fontId="45" fillId="0" borderId="19" xfId="0" applyNumberFormat="true" applyFont="true" applyBorder="true" applyAlignment="true">
      <alignment horizontal="right"/>
    </xf>
    <xf numFmtId="167" fontId="45" fillId="0" borderId="0" xfId="0" applyNumberFormat="true" applyFont="true" applyAlignment="true">
      <alignment horizontal="left"/>
    </xf>
    <xf numFmtId="0" fontId="48" fillId="0" borderId="0" xfId="0" applyFont="true" applyAlignment="true">
      <alignment horizontal="left"/>
    </xf>
    <xf numFmtId="166" fontId="45" fillId="0" borderId="10" xfId="0" applyNumberFormat="true" applyFont="true" applyBorder="true" applyAlignment="true">
      <alignment horizontal="right"/>
    </xf>
    <xf numFmtId="166" fontId="45" fillId="0" borderId="0" xfId="0" applyNumberFormat="true" applyFont="true" applyAlignment="true">
      <alignment horizontal="right"/>
    </xf>
    <xf numFmtId="167" fontId="45" fillId="0" borderId="0" xfId="0" applyNumberFormat="true" applyFont="true" applyAlignment="true">
      <alignment horizontal="right"/>
    </xf>
    <xf numFmtId="166" fontId="45" fillId="0" borderId="11" xfId="0" applyNumberFormat="true" applyFont="true" applyBorder="true" applyAlignment="true">
      <alignment horizontal="right"/>
    </xf>
    <xf numFmtId="170" fontId="45" fillId="0" borderId="0" xfId="0" applyNumberFormat="true" applyFont="true"/>
    <xf numFmtId="0" fontId="45" fillId="0" borderId="0" xfId="0" applyFont="true" applyAlignment="true">
      <alignment horizontal="right"/>
    </xf>
    <xf numFmtId="0" fontId="48" fillId="33" borderId="0" xfId="0" applyFont="true" applyFill="true" applyAlignment="true">
      <alignment horizontal="left"/>
    </xf>
    <xf numFmtId="0" fontId="51" fillId="0" borderId="0" xfId="0" applyFont="true"/>
    <xf numFmtId="0" fontId="50" fillId="0" borderId="0" xfId="0" applyFont="true"/>
    <xf numFmtId="0" fontId="49" fillId="0" borderId="0" xfId="0" applyFont="true"/>
    <xf numFmtId="166" fontId="48" fillId="0" borderId="0" xfId="0" applyNumberFormat="true" applyFont="true" applyAlignment="true">
      <alignment horizontal="right"/>
    </xf>
    <xf numFmtId="167" fontId="45" fillId="0" borderId="0" xfId="0" applyNumberFormat="true" applyFont="true"/>
    <xf numFmtId="166" fontId="54" fillId="0" borderId="10" xfId="0" applyNumberFormat="true" applyFont="true" applyBorder="true" applyAlignment="true">
      <alignment horizontal="right"/>
    </xf>
    <xf numFmtId="0" fontId="55" fillId="0" borderId="0" xfId="0" applyFont="true" applyAlignment="true">
      <alignment horizontal="left"/>
    </xf>
    <xf numFmtId="0" fontId="45" fillId="0" borderId="10" xfId="0" applyFont="true" applyBorder="true"/>
    <xf numFmtId="166" fontId="48" fillId="0" borderId="10" xfId="0" applyNumberFormat="true" applyFont="true" applyBorder="true" applyAlignment="true">
      <alignment horizontal="right"/>
    </xf>
    <xf numFmtId="166" fontId="48" fillId="0" borderId="11" xfId="0" applyNumberFormat="true" applyFont="true" applyBorder="true" applyAlignment="true">
      <alignment horizontal="right"/>
    </xf>
    <xf numFmtId="167" fontId="48" fillId="0" borderId="0" xfId="0" applyNumberFormat="true" applyFont="true" applyAlignment="true">
      <alignment horizontal="left"/>
    </xf>
    <xf numFmtId="0" fontId="55" fillId="0" borderId="0" xfId="0" applyFont="true"/>
    <xf numFmtId="0" fontId="53" fillId="0" borderId="0" xfId="0" applyFont="true" applyAlignment="true">
      <alignment horizontal="left"/>
    </xf>
    <xf numFmtId="0" fontId="45" fillId="0" borderId="11" xfId="0" applyFont="true" applyBorder="true"/>
    <xf numFmtId="0" fontId="45" fillId="0" borderId="22" xfId="0" applyFont="true" applyBorder="true" applyAlignment="true">
      <alignment wrapText="true"/>
    </xf>
    <xf numFmtId="0" fontId="45" fillId="0" borderId="22" xfId="0" applyFont="true" applyBorder="true"/>
    <xf numFmtId="0" fontId="48" fillId="0" borderId="22" xfId="0" applyFont="true" applyBorder="true"/>
    <xf numFmtId="0" fontId="50" fillId="0" borderId="22" xfId="0" applyFont="true" applyBorder="true"/>
    <xf numFmtId="166" fontId="45" fillId="0" borderId="24" xfId="0" applyNumberFormat="true" applyFont="true" applyBorder="true" applyAlignment="true">
      <alignment horizontal="right"/>
    </xf>
    <xf numFmtId="166" fontId="45" fillId="0" borderId="22" xfId="0" applyNumberFormat="true" applyFont="true" applyBorder="true" applyAlignment="true">
      <alignment horizontal="right"/>
    </xf>
    <xf numFmtId="167" fontId="45" fillId="0" borderId="22" xfId="0" applyNumberFormat="true" applyFont="true" applyBorder="true" applyAlignment="true">
      <alignment horizontal="right"/>
    </xf>
    <xf numFmtId="166" fontId="45" fillId="0" borderId="23" xfId="0" applyNumberFormat="true" applyFont="true" applyBorder="true" applyAlignment="true">
      <alignment horizontal="right"/>
    </xf>
    <xf numFmtId="167" fontId="45" fillId="0" borderId="22" xfId="0" applyNumberFormat="true" applyFont="true" applyBorder="true" applyAlignment="true">
      <alignment horizontal="left"/>
    </xf>
    <xf numFmtId="0" fontId="0" fillId="0" borderId="39" xfId="0" applyBorder="true"/>
    <xf numFmtId="0" fontId="0" fillId="0" borderId="40" xfId="0" applyBorder="true"/>
    <xf numFmtId="0" fontId="0" fillId="0" borderId="41" xfId="0" applyBorder="true"/>
    <xf numFmtId="1" fontId="0" fillId="0" borderId="40" xfId="0" applyNumberFormat="true" applyBorder="true"/>
    <xf numFmtId="1" fontId="0" fillId="0" borderId="41" xfId="0" applyNumberFormat="true" applyBorder="true"/>
    <xf numFmtId="1" fontId="0" fillId="0" borderId="38" xfId="0" applyNumberFormat="true" applyBorder="true"/>
    <xf numFmtId="1" fontId="0" fillId="0" borderId="30" xfId="0" applyNumberFormat="true" applyBorder="true"/>
    <xf numFmtId="9" fontId="0" fillId="0" borderId="28" xfId="0" applyNumberFormat="true" applyBorder="true"/>
    <xf numFmtId="9" fontId="0" fillId="0" borderId="29" xfId="0" applyNumberFormat="true" applyBorder="true"/>
    <xf numFmtId="1" fontId="0" fillId="0" borderId="25" xfId="0" applyNumberFormat="true" applyBorder="true"/>
    <xf numFmtId="1" fontId="0" fillId="0" borderId="31" xfId="0" applyNumberFormat="true" applyBorder="true"/>
    <xf numFmtId="2" fontId="0" fillId="40" borderId="0" xfId="0" applyNumberFormat="true" applyFill="true"/>
    <xf numFmtId="164" fontId="0" fillId="0" borderId="0" xfId="0" quotePrefix="true" applyNumberFormat="true"/>
    <xf numFmtId="0" fontId="0" fillId="0" borderId="0" xfId="0" applyAlignment="true">
      <alignment horizontal="right"/>
    </xf>
    <xf numFmtId="9" fontId="0" fillId="39" borderId="0" xfId="44" applyFont="true" applyFill="true"/>
    <xf numFmtId="9" fontId="0" fillId="0" borderId="0" xfId="0" applyNumberFormat="true"/>
    <xf numFmtId="165" fontId="0" fillId="0" borderId="0" xfId="0" applyNumberFormat="true"/>
    <xf numFmtId="1" fontId="16" fillId="0" borderId="0" xfId="0" applyNumberFormat="true" applyFont="true"/>
    <xf numFmtId="9" fontId="16" fillId="41" borderId="37" xfId="0" applyNumberFormat="true" applyFont="true" applyFill="true" applyBorder="true" applyAlignment="true">
      <alignment horizontal="center" vertical="center"/>
    </xf>
    <xf numFmtId="9" fontId="16" fillId="46" borderId="37" xfId="0" applyNumberFormat="true" applyFont="true" applyFill="true" applyBorder="true" applyAlignment="true">
      <alignment horizontal="center" vertical="center"/>
    </xf>
    <xf numFmtId="0" fontId="16" fillId="39" borderId="37" xfId="0" applyFont="true" applyFill="true" applyBorder="true" applyAlignment="true">
      <alignment horizontal="center" vertical="center" wrapText="true"/>
    </xf>
    <xf numFmtId="9" fontId="16" fillId="45" borderId="37" xfId="0" applyNumberFormat="true" applyFont="true" applyFill="true" applyBorder="true" applyAlignment="true">
      <alignment horizontal="center" vertical="center"/>
    </xf>
    <xf numFmtId="9" fontId="16" fillId="44" borderId="37" xfId="0" applyNumberFormat="true" applyFont="true" applyFill="true" applyBorder="true" applyAlignment="true">
      <alignment horizontal="center" vertical="center"/>
    </xf>
    <xf numFmtId="0" fontId="16" fillId="38" borderId="0" xfId="0" applyFont="true" applyFill="true" applyAlignment="true">
      <alignment horizontal="center" vertical="center"/>
    </xf>
    <xf numFmtId="9" fontId="16" fillId="43" borderId="0" xfId="0" applyNumberFormat="true" applyFont="true" applyFill="true" applyAlignment="true">
      <alignment horizontal="center" vertical="center"/>
    </xf>
    <xf numFmtId="0" fontId="16" fillId="43" borderId="0" xfId="0" applyFont="true" applyFill="true" applyAlignment="true">
      <alignment horizontal="center" vertical="center"/>
    </xf>
    <xf numFmtId="0" fontId="16" fillId="42" borderId="33" xfId="0" applyFont="true" applyFill="true" applyBorder="true" applyAlignment="true">
      <alignment horizontal="center" vertical="center"/>
    </xf>
    <xf numFmtId="0" fontId="16" fillId="42" borderId="34" xfId="0" applyFont="true" applyFill="true" applyBorder="true" applyAlignment="true">
      <alignment horizontal="center" vertical="center"/>
    </xf>
    <xf numFmtId="0" fontId="16" fillId="42" borderId="35" xfId="0" applyFont="true" applyFill="true" applyBorder="true" applyAlignment="true">
      <alignment horizontal="center" vertical="center"/>
    </xf>
    <xf numFmtId="22" fontId="0" fillId="0" borderId="42" xfId="0" applyNumberFormat="true"/>
  </cellXfs>
  <cellStyles count="45">
    <cellStyle name="20% - Accent1" xfId="19" builtinId="30" customBuiltin="true"/>
    <cellStyle name="20% - Accent2" xfId="23" builtinId="34" customBuiltin="true"/>
    <cellStyle name="20% - Accent3" xfId="27" builtinId="38" customBuiltin="true"/>
    <cellStyle name="20% - Accent4" xfId="31" builtinId="42" customBuiltin="true"/>
    <cellStyle name="20% - Accent5" xfId="35" builtinId="46" customBuiltin="true"/>
    <cellStyle name="20% - Accent6" xfId="39" builtinId="50" customBuiltin="true"/>
    <cellStyle name="40% - Accent1" xfId="20" builtinId="31" customBuiltin="true"/>
    <cellStyle name="40% - Accent2" xfId="24" builtinId="35" customBuiltin="true"/>
    <cellStyle name="40% - Accent3" xfId="28" builtinId="39" customBuiltin="true"/>
    <cellStyle name="40% - Accent4" xfId="32" builtinId="43" customBuiltin="true"/>
    <cellStyle name="40% - Accent5" xfId="36" builtinId="47" customBuiltin="true"/>
    <cellStyle name="40% - Accent6" xfId="40" builtinId="51" customBuiltin="true"/>
    <cellStyle name="60% - Accent1" xfId="21" builtinId="32" customBuiltin="true"/>
    <cellStyle name="60% - Accent2" xfId="25" builtinId="36" customBuiltin="true"/>
    <cellStyle name="60% - Accent3" xfId="29" builtinId="40" customBuiltin="true"/>
    <cellStyle name="60% - Accent4" xfId="33" builtinId="44" customBuiltin="true"/>
    <cellStyle name="60% - Accent5" xfId="37" builtinId="48" customBuiltin="true"/>
    <cellStyle name="60% - Accent6" xfId="41" builtinId="52" customBuiltin="true"/>
    <cellStyle name="Accent1" xfId="18" builtinId="29" customBuiltin="true"/>
    <cellStyle name="Accent2" xfId="22" builtinId="33" customBuiltin="true"/>
    <cellStyle name="Accent3" xfId="26" builtinId="37" customBuiltin="true"/>
    <cellStyle name="Accent4" xfId="30" builtinId="41" customBuiltin="true"/>
    <cellStyle name="Accent5" xfId="34" builtinId="45" customBuiltin="true"/>
    <cellStyle name="Accent6" xfId="38" builtinId="49" customBuiltin="true"/>
    <cellStyle name="Bad" xfId="7" builtinId="27" customBuiltin="true"/>
    <cellStyle name="Calculation" xfId="11" builtinId="22" customBuiltin="true"/>
    <cellStyle name="Check Cell" xfId="13" builtinId="23" customBuiltin="true"/>
    <cellStyle name="Comma" xfId="43" builtinId="3"/>
    <cellStyle name="Explanatory Text" xfId="16" builtinId="53" customBuiltin="true"/>
    <cellStyle name="Good" xfId="6" builtinId="26" customBuiltin="true"/>
    <cellStyle name="Heading 1" xfId="2" builtinId="16" customBuiltin="true"/>
    <cellStyle name="Heading 2" xfId="3" builtinId="17" customBuiltin="true"/>
    <cellStyle name="Heading 3" xfId="4" builtinId="18" customBuiltin="true"/>
    <cellStyle name="Heading 4" xfId="5" builtinId="19" customBuiltin="true"/>
    <cellStyle name="Hyperlink" xfId="42" builtinId="8"/>
    <cellStyle name="Input" xfId="9" builtinId="20" customBuiltin="true"/>
    <cellStyle name="Linked Cell" xfId="12" builtinId="24" customBuiltin="true"/>
    <cellStyle name="Neutral" xfId="8" builtinId="28" customBuiltin="true"/>
    <cellStyle name="Normal" xfId="0" builtinId="0"/>
    <cellStyle name="Note" xfId="15" builtinId="10" customBuiltin="true"/>
    <cellStyle name="Output" xfId="10" builtinId="21" customBuiltin="true"/>
    <cellStyle name="Percent" xfId="44" builtinId="5"/>
    <cellStyle name="Title" xfId="1" builtinId="15" customBuiltin="true"/>
    <cellStyle name="Total" xfId="17" builtinId="25" customBuiltin="true"/>
    <cellStyle name="Warning Text" xfId="14" builtinId="11" customBuiltin="true"/>
  </cellStyles>
  <dxfs count="317">
    <dxf>
      <fill>
        <patternFill patternType="solid">
          <fgColor rgb="FFFCF5DE"/>
          <bgColor rgb="FFFCF5DE"/>
        </patternFill>
      </fill>
    </dxf>
    <dxf>
      <fill>
        <patternFill patternType="solid">
          <fgColor rgb="FFFFE599"/>
          <bgColor rgb="FFFFE599"/>
        </patternFill>
      </fill>
    </dxf>
    <dxf>
      <fill>
        <patternFill patternType="solid">
          <fgColor rgb="FFFF9900"/>
          <bgColor rgb="FFFF9900"/>
        </patternFill>
      </fill>
    </dxf>
    <dxf>
      <fill>
        <patternFill patternType="solid">
          <fgColor rgb="FFFF5400"/>
          <bgColor rgb="FFFF5400"/>
        </patternFill>
      </fill>
    </dxf>
    <dxf>
      <fill>
        <patternFill patternType="solid">
          <fgColor rgb="FFFF0000"/>
          <bgColor rgb="FFFF0000"/>
        </patternFill>
      </fill>
    </dxf>
    <dxf>
      <fill>
        <patternFill patternType="solid">
          <fgColor rgb="FFCC0000"/>
          <bgColor rgb="FFCC0000"/>
        </patternFill>
      </fill>
    </dxf>
    <dxf>
      <fill>
        <patternFill patternType="solid">
          <fgColor rgb="FF980942"/>
          <bgColor rgb="FF980942"/>
        </patternFill>
      </fill>
    </dxf>
    <dxf>
      <font>
        <color rgb="FFFFFFFF"/>
      </font>
      <fill>
        <patternFill patternType="solid">
          <fgColor rgb="FF741B47"/>
          <bgColor rgb="FF741B47"/>
        </patternFill>
      </fill>
    </dxf>
    <dxf>
      <font>
        <color rgb="FFFFFFFF"/>
      </font>
      <fill>
        <patternFill patternType="solid">
          <fgColor rgb="FF351C75"/>
          <bgColor rgb="FF351C75"/>
        </patternFill>
      </fill>
    </dxf>
    <dxf>
      <font>
        <color rgb="FFFFFFFF"/>
      </font>
      <fill>
        <patternFill patternType="solid">
          <fgColor rgb="FF000000"/>
          <bgColor rgb="FF000000"/>
        </patternFill>
      </fill>
    </dxf>
    <dxf>
      <fill>
        <patternFill patternType="solid">
          <fgColor rgb="FFFFFFFF"/>
          <bgColor rgb="FFFFFFFF"/>
        </patternFill>
      </fill>
    </dxf>
    <dxf>
      <fill>
        <patternFill patternType="solid">
          <fgColor rgb="FFFFE599"/>
          <bgColor rgb="FFFFE599"/>
        </patternFill>
      </fill>
    </dxf>
    <dxf>
      <fill>
        <patternFill patternType="solid">
          <fgColor rgb="FFFF9900"/>
          <bgColor rgb="FFFF9900"/>
        </patternFill>
      </fill>
    </dxf>
    <dxf>
      <fill>
        <patternFill patternType="solid">
          <fgColor rgb="FFFF5400"/>
          <bgColor rgb="FFFF5400"/>
        </patternFill>
      </fill>
    </dxf>
    <dxf>
      <fill>
        <patternFill patternType="solid">
          <fgColor rgb="FFFF0000"/>
          <bgColor rgb="FFFF0000"/>
        </patternFill>
      </fill>
    </dxf>
    <dxf>
      <fill>
        <patternFill patternType="solid">
          <fgColor rgb="FFCC0000"/>
          <bgColor rgb="FFCC0000"/>
        </patternFill>
      </fill>
    </dxf>
    <dxf>
      <fill>
        <patternFill patternType="solid">
          <fgColor rgb="FF980942"/>
          <bgColor rgb="FF980942"/>
        </patternFill>
      </fill>
    </dxf>
    <dxf>
      <fill>
        <patternFill patternType="solid">
          <fgColor rgb="FFFCF5DE"/>
          <bgColor rgb="FFFCF5DE"/>
        </patternFill>
      </fill>
    </dxf>
    <dxf>
      <font>
        <color rgb="FFFFFFFF"/>
      </font>
      <fill>
        <patternFill patternType="solid">
          <fgColor rgb="FF351C75"/>
          <bgColor rgb="FF351C75"/>
        </patternFill>
      </fill>
    </dxf>
    <dxf>
      <font>
        <color rgb="FFFFFFFF"/>
      </font>
      <fill>
        <patternFill patternType="solid">
          <fgColor rgb="FF741B47"/>
          <bgColor rgb="FF741B47"/>
        </patternFill>
      </fill>
    </dxf>
    <dxf>
      <font>
        <color rgb="FFFFFFFF"/>
      </font>
      <fill>
        <patternFill patternType="solid">
          <fgColor rgb="FF000000"/>
          <bgColor rgb="FF000000"/>
        </patternFill>
      </fill>
    </dxf>
    <dxf>
      <fill>
        <patternFill patternType="solid">
          <fgColor rgb="FFFF0000"/>
          <bgColor rgb="FFFF0000"/>
        </patternFill>
      </fill>
    </dxf>
    <dxf>
      <fill>
        <patternFill patternType="solid">
          <fgColor rgb="FFFF5400"/>
          <bgColor rgb="FFFF5400"/>
        </patternFill>
      </fill>
    </dxf>
    <dxf>
      <fill>
        <patternFill patternType="solid">
          <fgColor rgb="FFFF9900"/>
          <bgColor rgb="FFFF9900"/>
        </patternFill>
      </fill>
    </dxf>
    <dxf>
      <fill>
        <patternFill patternType="solid">
          <fgColor rgb="FFFFE599"/>
          <bgColor rgb="FFFFE599"/>
        </patternFill>
      </fill>
    </dxf>
    <dxf>
      <fill>
        <patternFill patternType="solid">
          <fgColor rgb="FFFCF5DE"/>
          <bgColor rgb="FFFCF5DE"/>
        </patternFill>
      </fill>
    </dxf>
    <dxf>
      <fill>
        <patternFill patternType="solid">
          <fgColor rgb="FFFFFFFF"/>
          <bgColor rgb="FFFFFFFF"/>
        </patternFill>
      </fill>
    </dxf>
    <dxf>
      <font>
        <color rgb="FFFFFFFF"/>
      </font>
      <fill>
        <patternFill patternType="solid">
          <fgColor rgb="FF000000"/>
          <bgColor rgb="FF000000"/>
        </patternFill>
      </fill>
    </dxf>
    <dxf>
      <fill>
        <patternFill patternType="solid">
          <fgColor rgb="FFFF9900"/>
          <bgColor rgb="FFFF9900"/>
        </patternFill>
      </fill>
    </dxf>
    <dxf>
      <fill>
        <patternFill patternType="solid">
          <fgColor rgb="FFFFE599"/>
          <bgColor rgb="FFFFE599"/>
        </patternFill>
      </fill>
    </dxf>
    <dxf>
      <fill>
        <patternFill patternType="solid">
          <fgColor rgb="FFFCF5DE"/>
          <bgColor rgb="FFFCF5DE"/>
        </patternFill>
      </fill>
    </dxf>
    <dxf>
      <fill>
        <patternFill patternType="none"/>
      </fill>
    </dxf>
    <dxf>
      <font>
        <color rgb="FFFFFFFF"/>
      </font>
      <fill>
        <patternFill patternType="solid">
          <fgColor rgb="FF000000"/>
          <bgColor rgb="FF000000"/>
        </patternFill>
      </fill>
    </dxf>
    <dxf>
      <fill>
        <patternFill patternType="solid">
          <fgColor rgb="FFFCF5DE"/>
          <bgColor rgb="FFFCF5DE"/>
        </patternFill>
      </fill>
    </dxf>
    <dxf>
      <fill>
        <patternFill patternType="solid">
          <fgColor rgb="FFFFE599"/>
          <bgColor rgb="FFFFE599"/>
        </patternFill>
      </fill>
    </dxf>
    <dxf>
      <font>
        <color rgb="FFFFFFFF"/>
      </font>
      <fill>
        <patternFill patternType="solid">
          <fgColor rgb="FF741B47"/>
          <bgColor rgb="FF741B47"/>
        </patternFill>
      </fill>
    </dxf>
    <dxf>
      <fill>
        <patternFill patternType="solid">
          <fgColor rgb="FF980942"/>
          <bgColor rgb="FF980942"/>
        </patternFill>
      </fill>
    </dxf>
    <dxf>
      <fill>
        <patternFill patternType="solid">
          <fgColor rgb="FFCC0000"/>
          <bgColor rgb="FFCC0000"/>
        </patternFill>
      </fill>
    </dxf>
    <dxf>
      <fill>
        <patternFill patternType="solid">
          <fgColor rgb="FFFF0000"/>
          <bgColor rgb="FFFF0000"/>
        </patternFill>
      </fill>
    </dxf>
    <dxf>
      <fill>
        <patternFill patternType="solid">
          <fgColor rgb="FFFF5400"/>
          <bgColor rgb="FFFF5400"/>
        </patternFill>
      </fill>
    </dxf>
    <dxf>
      <fill>
        <patternFill patternType="solid">
          <fgColor rgb="FFFF9900"/>
          <bgColor rgb="FFFF9900"/>
        </patternFill>
      </fill>
    </dxf>
    <dxf>
      <fill>
        <patternFill patternType="solid">
          <fgColor rgb="FFFF9900"/>
          <bgColor rgb="FFFF9900"/>
        </patternFill>
      </fill>
    </dxf>
    <dxf>
      <fill>
        <patternFill patternType="solid">
          <fgColor rgb="FFFF0000"/>
          <bgColor rgb="FFFF0000"/>
        </patternFill>
      </fill>
    </dxf>
    <dxf>
      <fill>
        <patternFill patternType="solid">
          <fgColor rgb="FFFF5400"/>
          <bgColor rgb="FFFF5400"/>
        </patternFill>
      </fill>
    </dxf>
    <dxf>
      <fill>
        <patternFill patternType="solid">
          <fgColor rgb="FFFFD966"/>
          <bgColor rgb="FFFFD966"/>
        </patternFill>
      </fill>
    </dxf>
    <dxf>
      <font>
        <color rgb="FF000000"/>
      </font>
      <fill>
        <patternFill patternType="solid">
          <fgColor rgb="FFFCF5DE"/>
          <bgColor rgb="FFFCF5DE"/>
        </patternFill>
      </fill>
    </dxf>
    <dxf>
      <fill>
        <patternFill patternType="solid">
          <fgColor rgb="FFCC0000"/>
          <bgColor rgb="FFCC0000"/>
        </patternFill>
      </fill>
    </dxf>
    <dxf>
      <fill>
        <patternFill patternType="none"/>
      </fill>
    </dxf>
    <dxf>
      <font>
        <color rgb="FFFFFFFF"/>
      </font>
      <fill>
        <patternFill patternType="solid">
          <fgColor rgb="FF000000"/>
          <bgColor rgb="FF000000"/>
        </patternFill>
      </fill>
    </dxf>
    <dxf>
      <fill>
        <patternFill patternType="solid">
          <fgColor rgb="FFFFE599"/>
          <bgColor rgb="FFFFE599"/>
        </patternFill>
      </fill>
    </dxf>
    <dxf>
      <fill>
        <patternFill patternType="solid">
          <fgColor rgb="FFFCF5DE"/>
          <bgColor rgb="FFFCF5DE"/>
        </patternFill>
      </fill>
    </dxf>
    <dxf>
      <fill>
        <patternFill patternType="solid">
          <fgColor rgb="FF741B47"/>
          <bgColor rgb="FF741B47"/>
        </patternFill>
      </fill>
    </dxf>
    <dxf>
      <font>
        <color rgb="FFFFFFFF"/>
      </font>
      <fill>
        <patternFill patternType="solid">
          <fgColor rgb="FF351C75"/>
          <bgColor rgb="FF351C75"/>
        </patternFill>
      </fill>
    </dxf>
    <dxf>
      <font>
        <color rgb="FFFFFFFF"/>
      </font>
      <fill>
        <patternFill patternType="solid">
          <fgColor rgb="FF222222"/>
          <bgColor rgb="FF222222"/>
        </patternFill>
      </fill>
    </dxf>
    <dxf>
      <font>
        <color rgb="FFFFFFFF"/>
      </font>
      <fill>
        <patternFill patternType="solid">
          <fgColor rgb="FF741B47"/>
          <bgColor rgb="FF741B47"/>
        </patternFill>
      </fill>
    </dxf>
    <dxf>
      <fill>
        <patternFill patternType="solid">
          <fgColor rgb="FF980942"/>
          <bgColor rgb="FF980942"/>
        </patternFill>
      </fill>
    </dxf>
    <dxf>
      <fill>
        <patternFill patternType="solid">
          <fgColor rgb="FFCC0000"/>
          <bgColor rgb="FFCC0000"/>
        </patternFill>
      </fill>
    </dxf>
    <dxf>
      <fill>
        <patternFill patternType="solid">
          <fgColor rgb="FFFF0000"/>
          <bgColor rgb="FFFF0000"/>
        </patternFill>
      </fill>
    </dxf>
    <dxf>
      <font>
        <color rgb="FFFFFFFF"/>
      </font>
      <fill>
        <patternFill patternType="solid">
          <fgColor rgb="FF351C75"/>
          <bgColor rgb="FF351C75"/>
        </patternFill>
      </fill>
    </dxf>
    <dxf>
      <fill>
        <patternFill patternType="solid">
          <fgColor rgb="FFFF5400"/>
          <bgColor rgb="FFFF5400"/>
        </patternFill>
      </fill>
    </dxf>
    <dxf>
      <font>
        <color rgb="FF000000"/>
      </font>
      <fill>
        <patternFill patternType="solid">
          <fgColor rgb="FFFCF5DE"/>
          <bgColor rgb="FFFCF5DE"/>
        </patternFill>
      </fill>
    </dxf>
    <dxf>
      <fill>
        <patternFill patternType="solid">
          <fgColor rgb="FFFF9900"/>
          <bgColor rgb="FFFF9900"/>
        </patternFill>
      </fill>
    </dxf>
    <dxf>
      <fill>
        <patternFill patternType="solid">
          <fgColor rgb="FFFFD966"/>
          <bgColor rgb="FFFFD966"/>
        </patternFill>
      </fill>
    </dxf>
    <dxf>
      <fill>
        <patternFill patternType="none"/>
      </fill>
    </dxf>
    <dxf>
      <fill>
        <patternFill patternType="solid">
          <fgColor rgb="FFCC0000"/>
          <bgColor rgb="FFCC0000"/>
        </patternFill>
      </fill>
    </dxf>
    <dxf>
      <fill>
        <patternFill patternType="solid">
          <fgColor rgb="FFFF0000"/>
          <bgColor rgb="FFFF0000"/>
        </patternFill>
      </fill>
    </dxf>
    <dxf>
      <fill>
        <patternFill patternType="solid">
          <fgColor rgb="FFFF5400"/>
          <bgColor rgb="FFFF5400"/>
        </patternFill>
      </fill>
    </dxf>
    <dxf>
      <fill>
        <patternFill patternType="solid">
          <fgColor rgb="FFFF9900"/>
          <bgColor rgb="FFFF9900"/>
        </patternFill>
      </fill>
    </dxf>
    <dxf>
      <fill>
        <patternFill patternType="solid">
          <fgColor rgb="FFFFD966"/>
          <bgColor rgb="FFFFD966"/>
        </patternFill>
      </fill>
    </dxf>
    <dxf>
      <font>
        <color rgb="FF000000"/>
      </font>
      <fill>
        <patternFill patternType="solid">
          <fgColor rgb="FFFCF5DE"/>
          <bgColor rgb="FFFCF5DE"/>
        </patternFill>
      </fill>
    </dxf>
    <dxf>
      <fill>
        <patternFill patternType="none"/>
      </fill>
    </dxf>
    <dxf>
      <font>
        <color rgb="FFFFFFFF"/>
      </font>
      <fill>
        <patternFill patternType="solid">
          <fgColor rgb="FF741B47"/>
          <bgColor rgb="FF741B47"/>
        </patternFill>
      </fill>
    </dxf>
    <dxf>
      <font>
        <color rgb="FFFFFFFF"/>
      </font>
      <fill>
        <patternFill patternType="solid">
          <fgColor rgb="FF222222"/>
          <bgColor rgb="FF222222"/>
        </patternFill>
      </fill>
    </dxf>
    <dxf>
      <font>
        <color rgb="FFFFFFFF"/>
      </font>
      <fill>
        <patternFill patternType="solid">
          <fgColor rgb="FF351C75"/>
          <bgColor rgb="FF351C75"/>
        </patternFill>
      </fill>
    </dxf>
    <dxf>
      <fill>
        <patternFill patternType="solid">
          <fgColor rgb="FF980942"/>
          <bgColor rgb="FF980942"/>
        </patternFill>
      </fill>
    </dxf>
    <dxf>
      <fill>
        <patternFill patternType="solid">
          <fgColor rgb="FFFF9900"/>
          <bgColor rgb="FFFF9900"/>
        </patternFill>
      </fill>
    </dxf>
    <dxf>
      <fill>
        <patternFill patternType="solid">
          <fgColor rgb="FFFF5400"/>
          <bgColor rgb="FFFF5400"/>
        </patternFill>
      </fill>
    </dxf>
    <dxf>
      <font>
        <u/>
      </font>
      <fill>
        <patternFill patternType="solid">
          <fgColor rgb="FFFF0000"/>
          <bgColor rgb="FFFF0000"/>
        </patternFill>
      </fill>
    </dxf>
    <dxf>
      <fill>
        <patternFill patternType="solid">
          <fgColor rgb="FFCC0000"/>
          <bgColor rgb="FFCC0000"/>
        </patternFill>
      </fill>
    </dxf>
    <dxf>
      <fill>
        <patternFill patternType="solid">
          <fgColor rgb="FF980942"/>
          <bgColor rgb="FF980942"/>
        </patternFill>
      </fill>
    </dxf>
    <dxf>
      <font>
        <color rgb="FFFFFFFF"/>
      </font>
      <fill>
        <patternFill patternType="solid">
          <fgColor rgb="FF741B47"/>
          <bgColor rgb="FF741B47"/>
        </patternFill>
      </fill>
    </dxf>
    <dxf>
      <font>
        <color rgb="FFFFFFFF"/>
      </font>
      <fill>
        <patternFill patternType="solid">
          <fgColor rgb="FF351C75"/>
          <bgColor rgb="FF351C75"/>
        </patternFill>
      </fill>
    </dxf>
    <dxf>
      <font>
        <color rgb="FFFFFFFF"/>
      </font>
      <fill>
        <patternFill patternType="solid">
          <fgColor rgb="FF000000"/>
          <bgColor rgb="FF000000"/>
        </patternFill>
      </fill>
    </dxf>
    <dxf>
      <fill>
        <patternFill patternType="solid">
          <fgColor rgb="FFFCF5DE"/>
          <bgColor rgb="FFFCF5DE"/>
        </patternFill>
      </fill>
    </dxf>
    <dxf>
      <fill>
        <patternFill patternType="solid">
          <fgColor rgb="FFFFE599"/>
          <bgColor rgb="FFFFE599"/>
        </patternFill>
      </fill>
    </dxf>
    <dxf>
      <fill>
        <patternFill patternType="solid">
          <fgColor rgb="FF980942"/>
          <bgColor rgb="FF980942"/>
        </patternFill>
      </fill>
    </dxf>
    <dxf>
      <font>
        <color rgb="FFFFFFFF"/>
      </font>
      <fill>
        <patternFill patternType="solid">
          <fgColor rgb="FF000000"/>
          <bgColor rgb="FF000000"/>
        </patternFill>
      </fill>
    </dxf>
    <dxf>
      <fill>
        <patternFill patternType="solid">
          <fgColor rgb="FFFCF5DE"/>
          <bgColor rgb="FFFCF5DE"/>
        </patternFill>
      </fill>
    </dxf>
    <dxf>
      <fill>
        <patternFill patternType="solid">
          <fgColor rgb="FFFFE599"/>
          <bgColor rgb="FFFFE599"/>
        </patternFill>
      </fill>
    </dxf>
    <dxf>
      <fill>
        <patternFill patternType="solid">
          <fgColor rgb="FFFF9900"/>
          <bgColor rgb="FFFF9900"/>
        </patternFill>
      </fill>
    </dxf>
    <dxf>
      <fill>
        <patternFill patternType="solid">
          <fgColor rgb="FFFF5400"/>
          <bgColor rgb="FFFF5400"/>
        </patternFill>
      </fill>
    </dxf>
    <dxf>
      <font>
        <color rgb="FFFFFFFF"/>
      </font>
      <fill>
        <patternFill patternType="solid">
          <fgColor rgb="FF351C75"/>
          <bgColor rgb="FF351C75"/>
        </patternFill>
      </fill>
    </dxf>
    <dxf>
      <font>
        <color rgb="FFFFFFFF"/>
      </font>
      <fill>
        <patternFill patternType="solid">
          <fgColor rgb="FF741B47"/>
          <bgColor rgb="FF741B47"/>
        </patternFill>
      </fill>
    </dxf>
    <dxf>
      <font>
        <color rgb="FF000000"/>
      </font>
      <fill>
        <patternFill patternType="solid">
          <fgColor rgb="FF980942"/>
          <bgColor rgb="FF980942"/>
        </patternFill>
      </fill>
    </dxf>
    <dxf>
      <fill>
        <patternFill patternType="solid">
          <fgColor rgb="FFCC0000"/>
          <bgColor rgb="FFCC0000"/>
        </patternFill>
      </fill>
    </dxf>
    <dxf>
      <fill>
        <patternFill patternType="solid">
          <fgColor rgb="FFFF0000"/>
          <bgColor rgb="FFFF0000"/>
        </patternFill>
      </fill>
    </dxf>
    <dxf>
      <fill>
        <patternFill patternType="none"/>
      </fill>
    </dxf>
    <dxf>
      <fill>
        <patternFill patternType="solid">
          <fgColor rgb="FFFFE599"/>
          <bgColor rgb="FFFFE599"/>
        </patternFill>
      </fill>
    </dxf>
    <dxf>
      <font>
        <color rgb="FF000000"/>
      </font>
      <fill>
        <patternFill patternType="solid">
          <fgColor rgb="FFFCF5DE"/>
          <bgColor rgb="FFFCF5DE"/>
        </patternFill>
      </fill>
    </dxf>
    <dxf>
      <fill>
        <patternFill patternType="solid">
          <fgColor rgb="FFFF0000"/>
          <bgColor rgb="FFFF0000"/>
        </patternFill>
      </fill>
    </dxf>
    <dxf>
      <fill>
        <patternFill patternType="solid">
          <fgColor rgb="FFFF9900"/>
          <bgColor rgb="FFFF9900"/>
        </patternFill>
      </fill>
    </dxf>
    <dxf>
      <fill>
        <patternFill patternType="solid">
          <fgColor rgb="FFFF5400"/>
          <bgColor rgb="FFFF5400"/>
        </patternFill>
      </fill>
    </dxf>
    <dxf>
      <fill>
        <patternFill patternType="solid">
          <fgColor rgb="FFCC0000"/>
          <bgColor rgb="FFCC0000"/>
        </patternFill>
      </fill>
    </dxf>
    <dxf>
      <font>
        <color rgb="FF000000"/>
      </font>
      <fill>
        <patternFill patternType="solid">
          <fgColor rgb="FF980942"/>
          <bgColor rgb="FF980942"/>
        </patternFill>
      </fill>
    </dxf>
    <dxf>
      <font>
        <color rgb="FFFFFFFF"/>
      </font>
      <fill>
        <patternFill patternType="solid">
          <fgColor rgb="FF741B47"/>
          <bgColor rgb="FF741B47"/>
        </patternFill>
      </fill>
    </dxf>
    <dxf>
      <font>
        <color rgb="FFFFFFFF"/>
      </font>
      <fill>
        <patternFill patternType="solid">
          <fgColor rgb="FF351C75"/>
          <bgColor rgb="FF351C75"/>
        </patternFill>
      </fill>
    </dxf>
    <dxf>
      <fill>
        <patternFill patternType="solid">
          <fgColor rgb="FFFF0000"/>
          <bgColor rgb="FFFF0000"/>
        </patternFill>
      </fill>
    </dxf>
    <dxf>
      <fill>
        <patternFill patternType="solid">
          <fgColor rgb="FFFCF5DE"/>
          <bgColor rgb="FFFCF5DE"/>
        </patternFill>
      </fill>
    </dxf>
    <dxf>
      <fill>
        <patternFill patternType="solid">
          <fgColor rgb="FFFFE599"/>
          <bgColor rgb="FFFFE599"/>
        </patternFill>
      </fill>
    </dxf>
    <dxf>
      <fill>
        <patternFill patternType="solid">
          <fgColor rgb="FFFF9900"/>
          <bgColor rgb="FFFF9900"/>
        </patternFill>
      </fill>
    </dxf>
    <dxf>
      <fill>
        <patternFill patternType="solid">
          <fgColor rgb="FFFF5400"/>
          <bgColor rgb="FFFF5400"/>
        </patternFill>
      </fill>
    </dxf>
    <dxf>
      <font>
        <color rgb="FFFFFFFF"/>
      </font>
      <fill>
        <patternFill patternType="solid">
          <fgColor rgb="FF351C75"/>
          <bgColor rgb="FF351C75"/>
        </patternFill>
      </fill>
    </dxf>
    <dxf>
      <fill>
        <patternFill patternType="solid">
          <fgColor rgb="FFCC0000"/>
          <bgColor rgb="FFCC0000"/>
        </patternFill>
      </fill>
    </dxf>
    <dxf>
      <fill>
        <patternFill patternType="solid">
          <fgColor rgb="FF980942"/>
          <bgColor rgb="FF980942"/>
        </patternFill>
      </fill>
    </dxf>
    <dxf>
      <font>
        <color rgb="FFFFFFFF"/>
      </font>
      <fill>
        <patternFill patternType="solid">
          <fgColor rgb="FF741B47"/>
          <bgColor rgb="FF741B47"/>
        </patternFill>
      </fill>
    </dxf>
    <dxf>
      <font>
        <color rgb="FFFFFFFF"/>
      </font>
      <fill>
        <patternFill patternType="solid">
          <fgColor rgb="FF000000"/>
          <bgColor rgb="FF000000"/>
        </patternFill>
      </fill>
    </dxf>
    <dxf>
      <fill>
        <patternFill patternType="solid">
          <fgColor rgb="FFFFFFFF"/>
          <bgColor rgb="FFFFFFFF"/>
        </patternFill>
      </fill>
    </dxf>
    <dxf>
      <fill>
        <patternFill patternType="solid">
          <fgColor rgb="FFFF5400"/>
          <bgColor rgb="FFFF5400"/>
        </patternFill>
      </fill>
    </dxf>
    <dxf>
      <font>
        <color rgb="FFFFFFFF"/>
      </font>
      <fill>
        <patternFill patternType="solid">
          <fgColor rgb="FF000000"/>
          <bgColor rgb="FF000000"/>
        </patternFill>
      </fill>
    </dxf>
    <dxf>
      <fill>
        <patternFill patternType="solid">
          <fgColor rgb="FFFF0000"/>
          <bgColor rgb="FFFF0000"/>
        </patternFill>
      </fill>
    </dxf>
    <dxf>
      <fill>
        <patternFill patternType="solid">
          <fgColor rgb="FFFF9900"/>
          <bgColor rgb="FFFF9900"/>
        </patternFill>
      </fill>
    </dxf>
    <dxf>
      <fill>
        <patternFill patternType="solid">
          <fgColor rgb="FFFCF5DE"/>
          <bgColor rgb="FFFCF5DE"/>
        </patternFill>
      </fill>
    </dxf>
    <dxf>
      <fill>
        <patternFill patternType="solid">
          <fgColor rgb="FFFFE599"/>
          <bgColor rgb="FFFFE599"/>
        </patternFill>
      </fill>
    </dxf>
    <dxf>
      <fill>
        <patternFill patternType="solid">
          <fgColor rgb="FFFFFFFF"/>
          <bgColor rgb="FFFFFFFF"/>
        </patternFill>
      </fill>
    </dxf>
    <dxf>
      <font>
        <color rgb="FFFFFFFF"/>
      </font>
      <fill>
        <patternFill patternType="solid">
          <fgColor rgb="FF000000"/>
          <bgColor rgb="FF000000"/>
        </patternFill>
      </fill>
    </dxf>
    <dxf>
      <fill>
        <patternFill patternType="solid">
          <fgColor rgb="FFFF9900"/>
          <bgColor rgb="FFFF9900"/>
        </patternFill>
      </fill>
    </dxf>
    <dxf>
      <fill>
        <patternFill patternType="solid">
          <fgColor rgb="FFFFE599"/>
          <bgColor rgb="FFFFE599"/>
        </patternFill>
      </fill>
    </dxf>
    <dxf>
      <fill>
        <patternFill patternType="solid">
          <fgColor rgb="FFFCF5DE"/>
          <bgColor rgb="FFFCF5DE"/>
        </patternFill>
      </fill>
    </dxf>
    <dxf>
      <font>
        <color rgb="FFFFFFFF"/>
      </font>
      <fill>
        <patternFill patternType="solid">
          <fgColor rgb="FF741B47"/>
          <bgColor rgb="FF741B47"/>
        </patternFill>
      </fill>
    </dxf>
    <dxf>
      <font>
        <color rgb="FFFFFFFF"/>
      </font>
      <fill>
        <patternFill patternType="solid">
          <fgColor rgb="FF351C75"/>
          <bgColor rgb="FF351C75"/>
        </patternFill>
      </fill>
    </dxf>
    <dxf>
      <font>
        <color rgb="FFFFFFFF"/>
      </font>
      <fill>
        <patternFill patternType="solid">
          <fgColor rgb="FF000000"/>
          <bgColor rgb="FF000000"/>
        </patternFill>
      </fill>
    </dxf>
    <dxf>
      <fill>
        <patternFill patternType="solid">
          <fgColor rgb="FFFFE599"/>
          <bgColor rgb="FFFFE599"/>
        </patternFill>
      </fill>
    </dxf>
    <dxf>
      <fill>
        <patternFill patternType="solid">
          <fgColor rgb="FFCC0000"/>
          <bgColor rgb="FFCC0000"/>
        </patternFill>
      </fill>
    </dxf>
    <dxf>
      <fill>
        <patternFill patternType="solid">
          <fgColor rgb="FFFF0000"/>
          <bgColor rgb="FFFF0000"/>
        </patternFill>
      </fill>
    </dxf>
    <dxf>
      <fill>
        <patternFill patternType="solid">
          <fgColor rgb="FFFF5400"/>
          <bgColor rgb="FFFF5400"/>
        </patternFill>
      </fill>
    </dxf>
    <dxf>
      <fill>
        <patternFill patternType="solid">
          <fgColor rgb="FFFF9900"/>
          <bgColor rgb="FFFF9900"/>
        </patternFill>
      </fill>
    </dxf>
    <dxf>
      <fill>
        <patternFill patternType="solid">
          <fgColor rgb="FFFCF5DE"/>
          <bgColor rgb="FFFCF5DE"/>
        </patternFill>
      </fill>
    </dxf>
    <dxf>
      <fill>
        <patternFill patternType="solid">
          <fgColor rgb="FF980942"/>
          <bgColor rgb="FF980942"/>
        </patternFill>
      </fill>
    </dxf>
    <dxf>
      <fill>
        <patternFill patternType="none"/>
      </fill>
    </dxf>
    <dxf>
      <font>
        <color rgb="FFFFFFFF"/>
      </font>
      <fill>
        <patternFill patternType="solid">
          <fgColor rgb="FF000000"/>
          <bgColor rgb="FF000000"/>
        </patternFill>
      </fill>
    </dxf>
    <dxf>
      <fill>
        <patternFill patternType="solid">
          <fgColor rgb="FFFFE599"/>
          <bgColor rgb="FFFFE599"/>
        </patternFill>
      </fill>
    </dxf>
    <dxf>
      <fill>
        <patternFill patternType="solid">
          <fgColor rgb="FFFCF5DE"/>
          <bgColor rgb="FFFCF5DE"/>
        </patternFill>
      </fill>
    </dxf>
    <dxf>
      <font>
        <color rgb="FFFFFFFF"/>
      </font>
      <fill>
        <patternFill patternType="solid">
          <fgColor rgb="FF000000"/>
          <bgColor rgb="FF000000"/>
        </patternFill>
      </fill>
    </dxf>
    <dxf>
      <fill>
        <patternFill patternType="solid">
          <fgColor rgb="FFFF0000"/>
          <bgColor rgb="FFFF0000"/>
        </patternFill>
      </fill>
    </dxf>
    <dxf>
      <fill>
        <patternFill patternType="solid">
          <fgColor rgb="FFFF5400"/>
          <bgColor rgb="FFFF5400"/>
        </patternFill>
      </fill>
    </dxf>
    <dxf>
      <fill>
        <patternFill patternType="solid">
          <fgColor rgb="FFFF9900"/>
          <bgColor rgb="FFFF9900"/>
        </patternFill>
      </fill>
    </dxf>
    <dxf>
      <fill>
        <patternFill patternType="solid">
          <fgColor rgb="FFFFE599"/>
          <bgColor rgb="FFFFE599"/>
        </patternFill>
      </fill>
    </dxf>
    <dxf>
      <fill>
        <patternFill patternType="solid">
          <fgColor rgb="FFFCF5DE"/>
          <bgColor rgb="FFFCF5DE"/>
        </patternFill>
      </fill>
    </dxf>
    <dxf>
      <fill>
        <patternFill patternType="solid">
          <fgColor rgb="FFFFFFFF"/>
          <bgColor rgb="FFFFFFFF"/>
        </patternFill>
      </fill>
    </dxf>
    <dxf>
      <font>
        <color rgb="FFFFFFFF"/>
      </font>
      <fill>
        <patternFill patternType="solid">
          <fgColor rgb="FF000000"/>
          <bgColor rgb="FF000000"/>
        </patternFill>
      </fill>
    </dxf>
    <dxf>
      <fill>
        <patternFill patternType="solid">
          <fgColor rgb="FFFF9900"/>
          <bgColor rgb="FFFF9900"/>
        </patternFill>
      </fill>
    </dxf>
    <dxf>
      <fill>
        <patternFill patternType="solid">
          <fgColor rgb="FFFFE599"/>
          <bgColor rgb="FFFFE599"/>
        </patternFill>
      </fill>
    </dxf>
    <dxf>
      <fill>
        <patternFill patternType="solid">
          <fgColor rgb="FFFCF5DE"/>
          <bgColor rgb="FFFCF5DE"/>
        </patternFill>
      </fill>
    </dxf>
    <dxf>
      <font>
        <color rgb="FFFFFFFF"/>
      </font>
      <fill>
        <patternFill patternType="solid">
          <fgColor rgb="FF741B47"/>
          <bgColor rgb="FF741B47"/>
        </patternFill>
      </fill>
    </dxf>
    <dxf>
      <font>
        <color rgb="FFFFFFFF"/>
      </font>
      <fill>
        <patternFill patternType="solid">
          <fgColor rgb="FF351C75"/>
          <bgColor rgb="FF351C75"/>
        </patternFill>
      </fill>
    </dxf>
    <dxf>
      <font>
        <color rgb="FFFFFFFF"/>
      </font>
      <fill>
        <patternFill patternType="solid">
          <fgColor rgb="FF000000"/>
          <bgColor rgb="FF000000"/>
        </patternFill>
      </fill>
    </dxf>
    <dxf>
      <fill>
        <patternFill patternType="solid">
          <fgColor rgb="FF980942"/>
          <bgColor rgb="FF980942"/>
        </patternFill>
      </fill>
    </dxf>
    <dxf>
      <fill>
        <patternFill patternType="solid">
          <fgColor rgb="FFFCF5DE"/>
          <bgColor rgb="FFFCF5DE"/>
        </patternFill>
      </fill>
    </dxf>
    <dxf>
      <fill>
        <patternFill patternType="solid">
          <fgColor rgb="FFFFE599"/>
          <bgColor rgb="FFFFE599"/>
        </patternFill>
      </fill>
    </dxf>
    <dxf>
      <fill>
        <patternFill patternType="solid">
          <fgColor rgb="FFFF5400"/>
          <bgColor rgb="FFFF5400"/>
        </patternFill>
      </fill>
    </dxf>
    <dxf>
      <fill>
        <patternFill patternType="solid">
          <fgColor rgb="FFFF9900"/>
          <bgColor rgb="FFFF9900"/>
        </patternFill>
      </fill>
    </dxf>
    <dxf>
      <fill>
        <patternFill patternType="solid">
          <fgColor rgb="FFFF0000"/>
          <bgColor rgb="FFFF0000"/>
        </patternFill>
      </fill>
    </dxf>
    <dxf>
      <fill>
        <patternFill patternType="solid">
          <fgColor rgb="FFCC0000"/>
          <bgColor rgb="FFCC0000"/>
        </patternFill>
      </fill>
    </dxf>
    <dxf>
      <fill>
        <patternFill patternType="none"/>
      </fill>
    </dxf>
    <dxf>
      <font>
        <color rgb="FFFFFFFF"/>
      </font>
      <fill>
        <patternFill patternType="solid">
          <fgColor rgb="FF000000"/>
          <bgColor rgb="FF000000"/>
        </patternFill>
      </fill>
    </dxf>
    <dxf>
      <fill>
        <patternFill patternType="solid">
          <fgColor rgb="FFFFE599"/>
          <bgColor rgb="FFFFE599"/>
        </patternFill>
      </fill>
    </dxf>
    <dxf>
      <fill>
        <patternFill patternType="solid">
          <fgColor rgb="FFFCF5DE"/>
          <bgColor rgb="FFFCF5DE"/>
        </patternFill>
      </fill>
    </dxf>
    <dxf>
      <font>
        <color rgb="FFFFFFFF"/>
      </font>
      <fill>
        <patternFill patternType="solid">
          <fgColor rgb="FF000000"/>
          <bgColor rgb="FF000000"/>
        </patternFill>
      </fill>
    </dxf>
    <dxf>
      <fill>
        <patternFill patternType="solid">
          <fgColor rgb="FFFF0000"/>
          <bgColor rgb="FFFF0000"/>
        </patternFill>
      </fill>
    </dxf>
    <dxf>
      <fill>
        <patternFill patternType="solid">
          <fgColor rgb="FFFF5400"/>
          <bgColor rgb="FFFF5400"/>
        </patternFill>
      </fill>
    </dxf>
    <dxf>
      <fill>
        <patternFill patternType="solid">
          <fgColor rgb="FFFF9900"/>
          <bgColor rgb="FFFF9900"/>
        </patternFill>
      </fill>
    </dxf>
    <dxf>
      <fill>
        <patternFill patternType="solid">
          <fgColor rgb="FFFFE599"/>
          <bgColor rgb="FFFFE599"/>
        </patternFill>
      </fill>
    </dxf>
    <dxf>
      <fill>
        <patternFill patternType="solid">
          <fgColor rgb="FFFCF5DE"/>
          <bgColor rgb="FFFCF5DE"/>
        </patternFill>
      </fill>
    </dxf>
    <dxf>
      <fill>
        <patternFill patternType="solid">
          <fgColor rgb="FFFFFFFF"/>
          <bgColor rgb="FFFFFFFF"/>
        </patternFill>
      </fill>
    </dxf>
    <dxf>
      <font>
        <color rgb="FFFFFFFF"/>
      </font>
      <fill>
        <patternFill patternType="solid">
          <fgColor rgb="FF000000"/>
          <bgColor rgb="FF000000"/>
        </patternFill>
      </fill>
    </dxf>
    <dxf>
      <fill>
        <patternFill patternType="solid">
          <fgColor rgb="FFFF9900"/>
          <bgColor rgb="FFFF9900"/>
        </patternFill>
      </fill>
    </dxf>
    <dxf>
      <fill>
        <patternFill patternType="solid">
          <fgColor rgb="FFFFE599"/>
          <bgColor rgb="FFFFE599"/>
        </patternFill>
      </fill>
    </dxf>
    <dxf>
      <fill>
        <patternFill patternType="solid">
          <fgColor rgb="FFFCF5DE"/>
          <bgColor rgb="FFFCF5DE"/>
        </patternFill>
      </fill>
    </dxf>
    <dxf>
      <font>
        <color rgb="FFFFFFFF"/>
      </font>
      <fill>
        <patternFill patternType="solid">
          <fgColor rgb="FF741B47"/>
          <bgColor rgb="FF741B47"/>
        </patternFill>
      </fill>
    </dxf>
    <dxf>
      <font>
        <color rgb="FFFFFFFF"/>
      </font>
      <fill>
        <patternFill patternType="solid">
          <fgColor rgb="FF351C75"/>
          <bgColor rgb="FF351C75"/>
        </patternFill>
      </fill>
    </dxf>
    <dxf>
      <font>
        <color rgb="FFFFFFFF"/>
      </font>
      <fill>
        <patternFill patternType="solid">
          <fgColor rgb="FF000000"/>
          <bgColor rgb="FF000000"/>
        </patternFill>
      </fill>
    </dxf>
    <dxf>
      <fill>
        <patternFill patternType="solid">
          <fgColor rgb="FFFCF5DE"/>
          <bgColor rgb="FFFCF5DE"/>
        </patternFill>
      </fill>
    </dxf>
    <dxf>
      <fill>
        <patternFill patternType="solid">
          <fgColor rgb="FFCC0000"/>
          <bgColor rgb="FFCC0000"/>
        </patternFill>
      </fill>
    </dxf>
    <dxf>
      <fill>
        <patternFill patternType="solid">
          <fgColor rgb="FFFF0000"/>
          <bgColor rgb="FFFF0000"/>
        </patternFill>
      </fill>
    </dxf>
    <dxf>
      <fill>
        <patternFill patternType="solid">
          <fgColor rgb="FFFFE599"/>
          <bgColor rgb="FFFFE599"/>
        </patternFill>
      </fill>
    </dxf>
    <dxf>
      <fill>
        <patternFill patternType="solid">
          <fgColor rgb="FFFF9900"/>
          <bgColor rgb="FFFF9900"/>
        </patternFill>
      </fill>
    </dxf>
    <dxf>
      <fill>
        <patternFill patternType="solid">
          <fgColor rgb="FFFF5400"/>
          <bgColor rgb="FFFF5400"/>
        </patternFill>
      </fill>
    </dxf>
    <dxf>
      <fill>
        <patternFill patternType="solid">
          <fgColor rgb="FF980942"/>
          <bgColor rgb="FF980942"/>
        </patternFill>
      </fill>
    </dxf>
    <dxf>
      <fill>
        <patternFill patternType="none"/>
      </fill>
    </dxf>
    <dxf>
      <font>
        <color rgb="FFFFFFFF"/>
      </font>
      <fill>
        <patternFill patternType="solid">
          <fgColor rgb="FF000000"/>
          <bgColor rgb="FF000000"/>
        </patternFill>
      </fill>
    </dxf>
    <dxf>
      <fill>
        <patternFill patternType="solid">
          <fgColor rgb="FFFFE599"/>
          <bgColor rgb="FFFFE599"/>
        </patternFill>
      </fill>
    </dxf>
    <dxf>
      <fill>
        <patternFill patternType="solid">
          <fgColor rgb="FFFCF5DE"/>
          <bgColor rgb="FFFCF5DE"/>
        </patternFill>
      </fill>
    </dxf>
    <dxf>
      <fill>
        <patternFill patternType="solid">
          <fgColor rgb="FFFF0000"/>
          <bgColor rgb="FFFF0000"/>
        </patternFill>
      </fill>
    </dxf>
    <dxf>
      <fill>
        <patternFill patternType="solid">
          <fgColor rgb="FFFF5400"/>
          <bgColor rgb="FFFF5400"/>
        </patternFill>
      </fill>
    </dxf>
    <dxf>
      <fill>
        <patternFill patternType="solid">
          <fgColor rgb="FFFF9900"/>
          <bgColor rgb="FFFF9900"/>
        </patternFill>
      </fill>
    </dxf>
    <dxf>
      <fill>
        <patternFill patternType="solid">
          <fgColor rgb="FFFFE599"/>
          <bgColor rgb="FFFFE599"/>
        </patternFill>
      </fill>
    </dxf>
    <dxf>
      <fill>
        <patternFill patternType="solid">
          <fgColor rgb="FFFCF5DE"/>
          <bgColor rgb="FFFCF5DE"/>
        </patternFill>
      </fill>
    </dxf>
    <dxf>
      <font>
        <color rgb="FFFFFFFF"/>
      </font>
      <fill>
        <patternFill patternType="solid">
          <fgColor rgb="FF000000"/>
          <bgColor rgb="FF000000"/>
        </patternFill>
      </fill>
    </dxf>
    <dxf>
      <fill>
        <patternFill patternType="solid">
          <fgColor rgb="FFFFFFFF"/>
          <bgColor rgb="FFFFFFFF"/>
        </patternFill>
      </fill>
    </dxf>
    <dxf>
      <fill>
        <patternFill patternType="solid">
          <fgColor rgb="FFFF9900"/>
          <bgColor rgb="FFFF9900"/>
        </patternFill>
      </fill>
    </dxf>
    <dxf>
      <font>
        <color rgb="FFFFFFFF"/>
      </font>
      <fill>
        <patternFill patternType="solid">
          <fgColor rgb="FF000000"/>
          <bgColor rgb="FF000000"/>
        </patternFill>
      </fill>
    </dxf>
    <dxf>
      <fill>
        <patternFill patternType="solid">
          <fgColor rgb="FFFFE599"/>
          <bgColor rgb="FFFFE599"/>
        </patternFill>
      </fill>
    </dxf>
    <dxf>
      <fill>
        <patternFill patternType="solid">
          <fgColor rgb="FFFCF5DE"/>
          <bgColor rgb="FFFCF5DE"/>
        </patternFill>
      </fill>
    </dxf>
    <dxf>
      <font>
        <color rgb="FFFFFFFF"/>
      </font>
      <fill>
        <patternFill patternType="solid">
          <fgColor rgb="FF000000"/>
          <bgColor rgb="FF000000"/>
        </patternFill>
      </fill>
    </dxf>
    <dxf>
      <font>
        <color rgb="FFFFFFFF"/>
      </font>
      <fill>
        <patternFill patternType="solid">
          <fgColor rgb="FF741B47"/>
          <bgColor rgb="FF741B47"/>
        </patternFill>
      </fill>
    </dxf>
    <dxf>
      <fill>
        <patternFill patternType="solid">
          <fgColor rgb="FF980942"/>
          <bgColor rgb="FF980942"/>
        </patternFill>
      </fill>
    </dxf>
    <dxf>
      <fill>
        <patternFill patternType="solid">
          <fgColor rgb="FFCC0000"/>
          <bgColor rgb="FFCC0000"/>
        </patternFill>
      </fill>
    </dxf>
    <dxf>
      <fill>
        <patternFill patternType="solid">
          <fgColor rgb="FFFF0000"/>
          <bgColor rgb="FFFF0000"/>
        </patternFill>
      </fill>
    </dxf>
    <dxf>
      <fill>
        <patternFill patternType="solid">
          <fgColor rgb="FFFF5400"/>
          <bgColor rgb="FFFF5400"/>
        </patternFill>
      </fill>
    </dxf>
    <dxf>
      <fill>
        <patternFill patternType="solid">
          <fgColor rgb="FFFF9900"/>
          <bgColor rgb="FFFF9900"/>
        </patternFill>
      </fill>
    </dxf>
    <dxf>
      <fill>
        <patternFill patternType="solid">
          <fgColor rgb="FFFFE599"/>
          <bgColor rgb="FFFFE599"/>
        </patternFill>
      </fill>
    </dxf>
    <dxf>
      <font>
        <color rgb="FFFFFFFF"/>
      </font>
      <fill>
        <patternFill patternType="solid">
          <fgColor rgb="FF351C75"/>
          <bgColor rgb="FF351C75"/>
        </patternFill>
      </fill>
    </dxf>
    <dxf>
      <fill>
        <patternFill patternType="solid">
          <fgColor rgb="FFFCF5DE"/>
          <bgColor rgb="FFFCF5DE"/>
        </patternFill>
      </fill>
    </dxf>
    <dxf>
      <fill>
        <patternFill patternType="none"/>
      </fill>
    </dxf>
    <dxf>
      <fill>
        <patternFill patternType="solid">
          <fgColor rgb="FFFCF5DE"/>
          <bgColor rgb="FFFCF5DE"/>
        </patternFill>
      </fill>
    </dxf>
    <dxf>
      <fill>
        <patternFill patternType="solid">
          <fgColor rgb="FFFFE599"/>
          <bgColor rgb="FFFFE599"/>
        </patternFill>
      </fill>
    </dxf>
    <dxf>
      <font>
        <color rgb="FFFFFFFF"/>
      </font>
      <fill>
        <patternFill patternType="solid">
          <fgColor rgb="FF000000"/>
          <bgColor rgb="FF000000"/>
        </patternFill>
      </fill>
    </dxf>
    <dxf>
      <font>
        <color rgb="FFFFFFFF"/>
      </font>
      <fill>
        <patternFill patternType="solid">
          <fgColor rgb="FF000000"/>
          <bgColor rgb="FF000000"/>
        </patternFill>
      </fill>
    </dxf>
    <dxf>
      <fill>
        <patternFill patternType="solid">
          <fgColor rgb="FFFF0000"/>
          <bgColor rgb="FFFF0000"/>
        </patternFill>
      </fill>
    </dxf>
    <dxf>
      <fill>
        <patternFill patternType="solid">
          <fgColor rgb="FFFF5400"/>
          <bgColor rgb="FFFF5400"/>
        </patternFill>
      </fill>
    </dxf>
    <dxf>
      <fill>
        <patternFill patternType="solid">
          <fgColor rgb="FFFF9900"/>
          <bgColor rgb="FFFF9900"/>
        </patternFill>
      </fill>
    </dxf>
    <dxf>
      <fill>
        <patternFill patternType="solid">
          <fgColor rgb="FFFFE599"/>
          <bgColor rgb="FFFFE599"/>
        </patternFill>
      </fill>
    </dxf>
    <dxf>
      <fill>
        <patternFill patternType="solid">
          <fgColor rgb="FFFCF5DE"/>
          <bgColor rgb="FFFCF5DE"/>
        </patternFill>
      </fill>
    </dxf>
    <dxf>
      <fill>
        <patternFill patternType="solid">
          <fgColor rgb="FFFFFFFF"/>
          <bgColor rgb="FFFFFFFF"/>
        </patternFill>
      </fill>
    </dxf>
    <dxf>
      <font>
        <color rgb="FFFFFFFF"/>
      </font>
      <fill>
        <patternFill patternType="solid">
          <fgColor rgb="FF000000"/>
          <bgColor rgb="FF000000"/>
        </patternFill>
      </fill>
    </dxf>
    <dxf>
      <fill>
        <patternFill patternType="solid">
          <fgColor rgb="FFFF9900"/>
          <bgColor rgb="FFFF9900"/>
        </patternFill>
      </fill>
    </dxf>
    <dxf>
      <fill>
        <patternFill patternType="solid">
          <fgColor rgb="FFFFE599"/>
          <bgColor rgb="FFFFE599"/>
        </patternFill>
      </fill>
    </dxf>
    <dxf>
      <fill>
        <patternFill patternType="solid">
          <fgColor rgb="FFFCF5DE"/>
          <bgColor rgb="FFFCF5DE"/>
        </patternFill>
      </fill>
    </dxf>
    <dxf>
      <font>
        <color rgb="FFFFFFFF"/>
      </font>
      <fill>
        <patternFill patternType="solid">
          <fgColor rgb="FF000000"/>
          <bgColor rgb="FF000000"/>
        </patternFill>
      </fill>
    </dxf>
    <dxf>
      <font>
        <color rgb="FFFFFFFF"/>
      </font>
      <fill>
        <patternFill patternType="solid">
          <fgColor rgb="FF351C75"/>
          <bgColor rgb="FF351C75"/>
        </patternFill>
      </fill>
    </dxf>
    <dxf>
      <font>
        <color rgb="FFFFFFFF"/>
      </font>
      <fill>
        <patternFill patternType="solid">
          <fgColor rgb="FF741B47"/>
          <bgColor rgb="FF741B47"/>
        </patternFill>
      </fill>
    </dxf>
    <dxf>
      <fill>
        <patternFill patternType="solid">
          <fgColor rgb="FF980942"/>
          <bgColor rgb="FF980942"/>
        </patternFill>
      </fill>
    </dxf>
    <dxf>
      <fill>
        <patternFill patternType="solid">
          <fgColor rgb="FFCC0000"/>
          <bgColor rgb="FFCC0000"/>
        </patternFill>
      </fill>
    </dxf>
    <dxf>
      <fill>
        <patternFill patternType="solid">
          <fgColor rgb="FFFF0000"/>
          <bgColor rgb="FFFF0000"/>
        </patternFill>
      </fill>
    </dxf>
    <dxf>
      <fill>
        <patternFill patternType="solid">
          <fgColor rgb="FFFF5400"/>
          <bgColor rgb="FFFF5400"/>
        </patternFill>
      </fill>
    </dxf>
    <dxf>
      <fill>
        <patternFill patternType="solid">
          <fgColor rgb="FFFF9900"/>
          <bgColor rgb="FFFF9900"/>
        </patternFill>
      </fill>
    </dxf>
    <dxf>
      <fill>
        <patternFill patternType="solid">
          <fgColor rgb="FFFFE599"/>
          <bgColor rgb="FFFFE599"/>
        </patternFill>
      </fill>
    </dxf>
    <dxf>
      <fill>
        <patternFill patternType="solid">
          <fgColor rgb="FFFCF5DE"/>
          <bgColor rgb="FFFCF5DE"/>
        </patternFill>
      </fill>
    </dxf>
    <dxf>
      <fill>
        <patternFill patternType="none"/>
      </fill>
    </dxf>
    <dxf>
      <fill>
        <patternFill patternType="solid">
          <fgColor rgb="FFFCF5DE"/>
          <bgColor rgb="FFFCF5DE"/>
        </patternFill>
      </fill>
    </dxf>
    <dxf>
      <fill>
        <patternFill patternType="solid">
          <fgColor rgb="FFFFE599"/>
          <bgColor rgb="FFFFE599"/>
        </patternFill>
      </fill>
    </dxf>
    <dxf>
      <font>
        <color rgb="FFFFFFFF"/>
      </font>
      <fill>
        <patternFill patternType="solid">
          <fgColor rgb="FF000000"/>
          <bgColor rgb="FF000000"/>
        </patternFill>
      </fill>
    </dxf>
    <dxf>
      <font>
        <color rgb="FFFFFFFF"/>
      </font>
      <fill>
        <patternFill patternType="solid">
          <fgColor rgb="FF000000"/>
          <bgColor rgb="FF000000"/>
        </patternFill>
      </fill>
    </dxf>
    <dxf>
      <fill>
        <patternFill patternType="solid">
          <fgColor rgb="FFFF0000"/>
          <bgColor rgb="FFFF0000"/>
        </patternFill>
      </fill>
    </dxf>
    <dxf>
      <fill>
        <patternFill patternType="solid">
          <fgColor rgb="FFFF5400"/>
          <bgColor rgb="FFFF5400"/>
        </patternFill>
      </fill>
    </dxf>
    <dxf>
      <fill>
        <patternFill patternType="solid">
          <fgColor rgb="FFFF9900"/>
          <bgColor rgb="FFFF9900"/>
        </patternFill>
      </fill>
    </dxf>
    <dxf>
      <fill>
        <patternFill patternType="solid">
          <fgColor rgb="FFFFE599"/>
          <bgColor rgb="FFFFE599"/>
        </patternFill>
      </fill>
    </dxf>
    <dxf>
      <fill>
        <patternFill patternType="solid">
          <fgColor rgb="FFFCF5DE"/>
          <bgColor rgb="FFFCF5DE"/>
        </patternFill>
      </fill>
    </dxf>
    <dxf>
      <fill>
        <patternFill patternType="solid">
          <fgColor rgb="FFFFFFFF"/>
          <bgColor rgb="FFFFFFFF"/>
        </patternFill>
      </fill>
    </dxf>
    <dxf>
      <fill>
        <patternFill patternType="solid">
          <fgColor rgb="FFFF9900"/>
          <bgColor rgb="FFFF9900"/>
        </patternFill>
      </fill>
    </dxf>
    <dxf>
      <font>
        <color rgb="FFFFFFFF"/>
      </font>
      <fill>
        <patternFill patternType="solid">
          <fgColor rgb="FF000000"/>
          <bgColor rgb="FF000000"/>
        </patternFill>
      </fill>
    </dxf>
    <dxf>
      <fill>
        <patternFill patternType="solid">
          <fgColor rgb="FFFFE599"/>
          <bgColor rgb="FFFFE599"/>
        </patternFill>
      </fill>
    </dxf>
    <dxf>
      <fill>
        <patternFill patternType="solid">
          <fgColor rgb="FFFCF5DE"/>
          <bgColor rgb="FFFCF5DE"/>
        </patternFill>
      </fill>
    </dxf>
    <dxf>
      <font>
        <color rgb="FFFFFFFF"/>
      </font>
      <fill>
        <patternFill patternType="solid">
          <fgColor rgb="FF741B47"/>
          <bgColor rgb="FF741B47"/>
        </patternFill>
      </fill>
    </dxf>
    <dxf>
      <font>
        <color rgb="FFFFFFFF"/>
      </font>
      <fill>
        <patternFill patternType="solid">
          <fgColor rgb="FF351C75"/>
          <bgColor rgb="FF351C75"/>
        </patternFill>
      </fill>
    </dxf>
    <dxf>
      <font>
        <color rgb="FFFFFFFF"/>
      </font>
      <fill>
        <patternFill patternType="solid">
          <fgColor rgb="FF000000"/>
          <bgColor rgb="FF000000"/>
        </patternFill>
      </fill>
    </dxf>
    <dxf>
      <fill>
        <patternFill patternType="solid">
          <fgColor rgb="FF980942"/>
          <bgColor rgb="FF980942"/>
        </patternFill>
      </fill>
    </dxf>
    <dxf>
      <fill>
        <patternFill patternType="solid">
          <fgColor rgb="FFCC0000"/>
          <bgColor rgb="FFCC0000"/>
        </patternFill>
      </fill>
    </dxf>
    <dxf>
      <fill>
        <patternFill patternType="solid">
          <fgColor rgb="FFFF0000"/>
          <bgColor rgb="FFFF0000"/>
        </patternFill>
      </fill>
    </dxf>
    <dxf>
      <fill>
        <patternFill patternType="solid">
          <fgColor rgb="FFFF9900"/>
          <bgColor rgb="FFFF9900"/>
        </patternFill>
      </fill>
    </dxf>
    <dxf>
      <fill>
        <patternFill patternType="solid">
          <fgColor rgb="FFFF5400"/>
          <bgColor rgb="FFFF5400"/>
        </patternFill>
      </fill>
    </dxf>
    <dxf>
      <fill>
        <patternFill patternType="solid">
          <fgColor rgb="FFFFE599"/>
          <bgColor rgb="FFFFE599"/>
        </patternFill>
      </fill>
    </dxf>
    <dxf>
      <fill>
        <patternFill patternType="solid">
          <fgColor rgb="FFFCF5DE"/>
          <bgColor rgb="FFFCF5DE"/>
        </patternFill>
      </fill>
    </dxf>
    <dxf>
      <fill>
        <patternFill patternType="none"/>
      </fill>
    </dxf>
    <dxf>
      <font>
        <color rgb="FFFFFFFF"/>
      </font>
      <fill>
        <patternFill patternType="solid">
          <fgColor rgb="FF000000"/>
          <bgColor rgb="FF000000"/>
        </patternFill>
      </fill>
    </dxf>
    <dxf>
      <fill>
        <patternFill patternType="solid">
          <fgColor rgb="FFFFE599"/>
          <bgColor rgb="FFFFE599"/>
        </patternFill>
      </fill>
    </dxf>
    <dxf>
      <fill>
        <patternFill patternType="solid">
          <fgColor rgb="FFFCF5DE"/>
          <bgColor rgb="FFFCF5DE"/>
        </patternFill>
      </fill>
    </dxf>
    <dxf>
      <font>
        <color rgb="FFFFFFFF"/>
      </font>
      <fill>
        <patternFill patternType="solid">
          <fgColor rgb="FF000000"/>
          <bgColor rgb="FF000000"/>
        </patternFill>
      </fill>
    </dxf>
    <dxf>
      <fill>
        <patternFill patternType="solid">
          <fgColor rgb="FFFF0000"/>
          <bgColor rgb="FFFF0000"/>
        </patternFill>
      </fill>
    </dxf>
    <dxf>
      <fill>
        <patternFill patternType="solid">
          <fgColor rgb="FFFF5400"/>
          <bgColor rgb="FFFF5400"/>
        </patternFill>
      </fill>
    </dxf>
    <dxf>
      <fill>
        <patternFill patternType="solid">
          <fgColor rgb="FFFF9900"/>
          <bgColor rgb="FFFF9900"/>
        </patternFill>
      </fill>
    </dxf>
    <dxf>
      <fill>
        <patternFill patternType="solid">
          <fgColor rgb="FFFCF5DE"/>
          <bgColor rgb="FFFCF5DE"/>
        </patternFill>
      </fill>
    </dxf>
    <dxf>
      <fill>
        <patternFill patternType="solid">
          <fgColor rgb="FFFFE599"/>
          <bgColor rgb="FFFFE599"/>
        </patternFill>
      </fill>
    </dxf>
    <dxf>
      <fill>
        <patternFill patternType="solid">
          <fgColor rgb="FFFFFFFF"/>
          <bgColor rgb="FFFFFFFF"/>
        </patternFill>
      </fill>
    </dxf>
    <dxf>
      <font>
        <color rgb="FFFFFFFF"/>
      </font>
      <fill>
        <patternFill patternType="solid">
          <fgColor rgb="FF000000"/>
          <bgColor rgb="FF000000"/>
        </patternFill>
      </fill>
    </dxf>
    <dxf>
      <fill>
        <patternFill patternType="solid">
          <fgColor rgb="FFFF9900"/>
          <bgColor rgb="FFFF9900"/>
        </patternFill>
      </fill>
    </dxf>
    <dxf>
      <fill>
        <patternFill patternType="solid">
          <fgColor rgb="FFFFE599"/>
          <bgColor rgb="FFFFE599"/>
        </patternFill>
      </fill>
    </dxf>
    <dxf>
      <fill>
        <patternFill patternType="solid">
          <fgColor rgb="FFFCF5DE"/>
          <bgColor rgb="FFFCF5DE"/>
        </patternFill>
      </fill>
    </dxf>
    <dxf>
      <font>
        <color rgb="FFFFFFFF"/>
      </font>
      <fill>
        <patternFill patternType="solid">
          <fgColor rgb="FF741B47"/>
          <bgColor rgb="FF741B47"/>
        </patternFill>
      </fill>
    </dxf>
    <dxf>
      <font>
        <color rgb="FFFFFFFF"/>
      </font>
      <fill>
        <patternFill patternType="solid">
          <fgColor rgb="FF351C75"/>
          <bgColor rgb="FF351C75"/>
        </patternFill>
      </fill>
    </dxf>
    <dxf>
      <font>
        <color rgb="FFFFFFFF"/>
      </font>
      <fill>
        <patternFill patternType="solid">
          <fgColor rgb="FF000000"/>
          <bgColor rgb="FF000000"/>
        </patternFill>
      </fill>
    </dxf>
    <dxf>
      <fill>
        <patternFill patternType="solid">
          <fgColor rgb="FFFFE599"/>
          <bgColor rgb="FFFFE599"/>
        </patternFill>
      </fill>
    </dxf>
    <dxf>
      <fill>
        <patternFill patternType="solid">
          <fgColor rgb="FFCC0000"/>
          <bgColor rgb="FFCC0000"/>
        </patternFill>
      </fill>
    </dxf>
    <dxf>
      <fill>
        <patternFill patternType="solid">
          <fgColor rgb="FFFF0000"/>
          <bgColor rgb="FFFF0000"/>
        </patternFill>
      </fill>
    </dxf>
    <dxf>
      <fill>
        <patternFill patternType="solid">
          <fgColor rgb="FFFF5400"/>
          <bgColor rgb="FFFF5400"/>
        </patternFill>
      </fill>
    </dxf>
    <dxf>
      <fill>
        <patternFill patternType="solid">
          <fgColor rgb="FFFF9900"/>
          <bgColor rgb="FFFF9900"/>
        </patternFill>
      </fill>
    </dxf>
    <dxf>
      <fill>
        <patternFill patternType="solid">
          <fgColor rgb="FFFCF5DE"/>
          <bgColor rgb="FFFCF5DE"/>
        </patternFill>
      </fill>
    </dxf>
    <dxf>
      <fill>
        <patternFill patternType="solid">
          <fgColor rgb="FF980942"/>
          <bgColor rgb="FF980942"/>
        </patternFill>
      </fill>
    </dxf>
    <dxf>
      <fill>
        <patternFill patternType="none"/>
      </fill>
    </dxf>
    <dxf>
      <font>
        <color rgb="FFFFFFFF"/>
      </font>
      <fill>
        <patternFill patternType="solid">
          <fgColor rgb="FF000000"/>
          <bgColor rgb="FF000000"/>
        </patternFill>
      </fill>
    </dxf>
    <dxf>
      <fill>
        <patternFill patternType="solid">
          <fgColor rgb="FFFFE599"/>
          <bgColor rgb="FFFFE599"/>
        </patternFill>
      </fill>
    </dxf>
    <dxf>
      <fill>
        <patternFill patternType="solid">
          <fgColor rgb="FFFCF5DE"/>
          <bgColor rgb="FFFCF5DE"/>
        </patternFill>
      </fill>
    </dxf>
    <dxf>
      <fill>
        <patternFill patternType="solid">
          <fgColor rgb="FFFF0000"/>
          <bgColor rgb="FFFF0000"/>
        </patternFill>
      </fill>
    </dxf>
    <dxf>
      <fill>
        <patternFill patternType="solid">
          <fgColor rgb="FFFF5400"/>
          <bgColor rgb="FFFF5400"/>
        </patternFill>
      </fill>
    </dxf>
    <dxf>
      <fill>
        <patternFill patternType="solid">
          <fgColor rgb="FFFF9900"/>
          <bgColor rgb="FFFF9900"/>
        </patternFill>
      </fill>
    </dxf>
    <dxf>
      <fill>
        <patternFill patternType="solid">
          <fgColor rgb="FFFFE599"/>
          <bgColor rgb="FFFFE599"/>
        </patternFill>
      </fill>
    </dxf>
    <dxf>
      <fill>
        <patternFill patternType="solid">
          <fgColor rgb="FFFCF5DE"/>
          <bgColor rgb="FFFCF5DE"/>
        </patternFill>
      </fill>
    </dxf>
    <dxf>
      <font>
        <color rgb="FFFFFFFF"/>
      </font>
      <fill>
        <patternFill patternType="solid">
          <fgColor rgb="FF000000"/>
          <bgColor rgb="FF000000"/>
        </patternFill>
      </fill>
    </dxf>
    <dxf>
      <fill>
        <patternFill patternType="solid">
          <fgColor rgb="FFFFFFFF"/>
          <bgColor rgb="FFFFFFFF"/>
        </patternFill>
      </fill>
    </dxf>
    <dxf>
      <fill>
        <patternFill patternType="solid">
          <fgColor rgb="FFFCF5DE"/>
          <bgColor rgb="FFFCF5DE"/>
        </patternFill>
      </fill>
    </dxf>
    <dxf>
      <font>
        <color rgb="FFFFFFFF"/>
      </font>
      <fill>
        <patternFill patternType="solid">
          <fgColor rgb="FF000000"/>
          <bgColor rgb="FF000000"/>
        </patternFill>
      </fill>
    </dxf>
    <dxf>
      <fill>
        <patternFill patternType="solid">
          <fgColor rgb="FFFF9900"/>
          <bgColor rgb="FFFF9900"/>
        </patternFill>
      </fill>
    </dxf>
    <dxf>
      <fill>
        <patternFill patternType="solid">
          <fgColor rgb="FFFFE599"/>
          <bgColor rgb="FFFFE599"/>
        </patternFill>
      </fill>
    </dxf>
    <dxf>
      <font>
        <color rgb="FFFFFFFF"/>
      </font>
      <fill>
        <patternFill patternType="solid">
          <fgColor rgb="FF741B47"/>
          <bgColor rgb="FF741B47"/>
        </patternFill>
      </fill>
    </dxf>
    <dxf>
      <font>
        <color rgb="FFFFFFFF"/>
      </font>
      <fill>
        <patternFill patternType="solid">
          <fgColor rgb="FF351C75"/>
          <bgColor rgb="FF351C75"/>
        </patternFill>
      </fill>
    </dxf>
    <dxf>
      <font>
        <color rgb="FFFFFFFF"/>
      </font>
      <fill>
        <patternFill patternType="solid">
          <fgColor rgb="FF000000"/>
          <bgColor rgb="FF000000"/>
        </patternFill>
      </fill>
    </dxf>
    <dxf>
      <fill>
        <patternFill patternType="solid">
          <fgColor rgb="FFFFE599"/>
          <bgColor rgb="FFFFE599"/>
        </patternFill>
      </fill>
    </dxf>
    <dxf>
      <fill>
        <patternFill patternType="solid">
          <fgColor rgb="FFFF9900"/>
          <bgColor rgb="FFFF9900"/>
        </patternFill>
      </fill>
    </dxf>
    <dxf>
      <fill>
        <patternFill patternType="solid">
          <fgColor rgb="FFCC0000"/>
          <bgColor rgb="FFCC0000"/>
        </patternFill>
      </fill>
    </dxf>
    <dxf>
      <fill>
        <patternFill patternType="solid">
          <fgColor rgb="FFFF0000"/>
          <bgColor rgb="FFFF0000"/>
        </patternFill>
      </fill>
    </dxf>
    <dxf>
      <fill>
        <patternFill patternType="solid">
          <fgColor rgb="FFFF5400"/>
          <bgColor rgb="FFFF5400"/>
        </patternFill>
      </fill>
    </dxf>
    <dxf>
      <fill>
        <patternFill patternType="solid">
          <fgColor rgb="FFFCF5DE"/>
          <bgColor rgb="FFFCF5DE"/>
        </patternFill>
      </fill>
    </dxf>
    <dxf>
      <fill>
        <patternFill patternType="solid">
          <fgColor rgb="FF980942"/>
          <bgColor rgb="FF980942"/>
        </patternFill>
      </fill>
    </dxf>
    <dxf>
      <fill>
        <patternFill patternType="none"/>
      </fill>
    </dxf>
    <dxf>
      <fill>
        <patternFill patternType="solid">
          <fgColor rgb="FFFFE599"/>
          <bgColor rgb="FFFFE599"/>
        </patternFill>
      </fill>
    </dxf>
    <dxf>
      <fill>
        <patternFill patternType="solid">
          <fgColor rgb="FFFCF5DE"/>
          <bgColor rgb="FFFCF5DE"/>
        </patternFill>
      </fill>
    </dxf>
    <dxf>
      <font>
        <color rgb="FFFFFFFF"/>
      </font>
      <fill>
        <patternFill patternType="solid">
          <fgColor rgb="FF000000"/>
          <bgColor rgb="FF000000"/>
        </patternFill>
      </fill>
    </dxf>
  </dxfs>
  <tableStyles count="0" defaultTableStyle="TableStyleMedium2" defaultPivotStyle="PivotStyleLight16"/>
  <colors>
    <mruColors>
      <color rgb="FFB01625"/>
      <color rgb="FFD11218"/>
      <color rgb="FFF4133B"/>
      <color rgb="FFE97A7C"/>
      <color rgb="FFD89B3D"/>
      <color rgb="FFFF2600"/>
      <color rgb="FFF4B084"/>
      <color rgb="FFFF6A52"/>
      <color rgb="FFFF2D00"/>
      <color rgb="FFD6DC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sharedStrings.xml" Type="http://schemas.openxmlformats.org/officeDocument/2006/relationships/sharedStrings" Id="rId8"/><Relationship Target="worksheets/sheet3.xml" Type="http://schemas.openxmlformats.org/officeDocument/2006/relationships/worksheet" Id="rId3"/><Relationship Target="styles.xml" Type="http://schemas.openxmlformats.org/officeDocument/2006/relationships/styles" Id="rId7"/><Relationship Target="worksheets/sheet2.xml" Type="http://schemas.openxmlformats.org/officeDocument/2006/relationships/worksheet" Id="rId2"/><Relationship Target="worksheets/sheet1.xml" Type="http://schemas.openxmlformats.org/officeDocument/2006/relationships/worksheet" Id="rId1"/><Relationship Target="theme/theme1.xml" Type="http://schemas.openxmlformats.org/officeDocument/2006/relationships/theme" Id="rId6"/><Relationship Target="worksheets/sheet5.xml" Type="http://schemas.openxmlformats.org/officeDocument/2006/relationships/worksheet" Id="rId5"/><Relationship Target="persons/person.xml" Type="http://schemas.microsoft.com/office/2017/10/relationships/person" Id="rId10"/><Relationship Target="worksheets/sheet4.xml" Type="http://schemas.openxmlformats.org/officeDocument/2006/relationships/worksheet" Id="rId4"/><Relationship Target="worksheets/sheet6.xml" Type="http://schemas.openxmlformats.org/officeDocument/2006/relationships/worksheet" Id="rId11"/></Relationships>
</file>

<file path=xl/persons/person.xml><?xml version="1.0" encoding="utf-8"?>
<personList xmlns="http://schemas.microsoft.com/office/spreadsheetml/2018/threadedcomments" xmlns:x="http://schemas.openxmlformats.org/spreadsheetml/2006/main">
  <person displayName="Madeline Qi" id="{8C3B0294-0EA4-4E01-8D38-B5D8AA0CF411}" userId="" providerId=""/>
  <person displayName="Eshel, Gidon" id="{F2FD5BF8-578C-D94B-9FB0-48898EE322B2}" userId="S::gidon_eshel@radcliffe.harvard.edu::b27c3ad8-67bb-42e3-868a-510f139520eb" providerId="AD"/>
</personList>
</file>

<file path=xl/theme/theme1.xml><?xml version="1.0" encoding="utf-8"?>
<a:theme xmlns:r="http://schemas.openxmlformats.org/officeDocument/2006/relationships"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Relationships xmlns="http://schemas.openxmlformats.org/package/2006/relationships"><Relationship TargetMode="External" Target="https://www.sciencedirect.com/science/article/pii/S0022316622110011?via%3Dihub" Type="http://schemas.openxmlformats.org/officeDocument/2006/relationships/hyperlink" Id="rId8"/><Relationship TargetMode="External" Target="https://www.sciencedirect.com/science/article/pii/S0022316622110011?via%3Dihub" Type="http://schemas.openxmlformats.org/officeDocument/2006/relationships/hyperlink" Id="rId13"/><Relationship TargetMode="External" Target="https://www.sciencedirect.com/science/article/pii/S0022316622110011?via%3Dihub" Type="http://schemas.openxmlformats.org/officeDocument/2006/relationships/hyperlink" Id="rId3"/><Relationship TargetMode="External" Target="https://www.sciencedirect.com/science/article/pii/S0022316622110011?via%3Dihub" Type="http://schemas.openxmlformats.org/officeDocument/2006/relationships/hyperlink" Id="rId7"/><Relationship TargetMode="External" Target="https://www.sciencedirect.com/science/article/pii/S0022316622110011?via%3Dihub" Type="http://schemas.openxmlformats.org/officeDocument/2006/relationships/hyperlink" Id="rId12"/><Relationship TargetMode="External" Target="https://www.sciencedirect.com/science/article/pii/S0022316622110011?via%3Dihub" Type="http://schemas.openxmlformats.org/officeDocument/2006/relationships/hyperlink" Id="rId2"/><Relationship TargetMode="External" Target="https://www.sciencedirect.com/science/article/pii/S0022316622110011?via%3Dihub" Type="http://schemas.openxmlformats.org/officeDocument/2006/relationships/hyperlink" Id="rId1"/><Relationship TargetMode="External" Target="https://www.sciencedirect.com/science/article/pii/S0022316622110011?via%3Dihub" Type="http://schemas.openxmlformats.org/officeDocument/2006/relationships/hyperlink" Id="rId6"/><Relationship TargetMode="External" Target="https://www.sciencedirect.com/science/article/pii/S0022316622110011?via%3Dihub" Type="http://schemas.openxmlformats.org/officeDocument/2006/relationships/hyperlink" Id="rId11"/><Relationship TargetMode="External" Target="https://www.sciencedirect.com/science/article/pii/S0022316622110011?via%3Dihub" Type="http://schemas.openxmlformats.org/officeDocument/2006/relationships/hyperlink" Id="rId5"/><Relationship TargetMode="External" Target="https://www.sciencedirect.com/science/article/pii/S0022316622110011?via%3Dihub" Type="http://schemas.openxmlformats.org/officeDocument/2006/relationships/hyperlink" Id="rId15"/><Relationship TargetMode="External" Target="https://www.sciencedirect.com/science/article/pii/S0022316622110011?via%3Dihub" Type="http://schemas.openxmlformats.org/officeDocument/2006/relationships/hyperlink" Id="rId10"/><Relationship TargetMode="External" Target="https://www.sciencedirect.com/science/article/pii/S0022316622110011?via%3Dihub" Type="http://schemas.openxmlformats.org/officeDocument/2006/relationships/hyperlink" Id="rId4"/><Relationship TargetMode="External" Target="https://www.sciencedirect.com/science/article/pii/S0022316622110011?via%3Dihub" Type="http://schemas.openxmlformats.org/officeDocument/2006/relationships/hyperlink" Id="rId9"/><Relationship TargetMode="External" Target="https://www.sciencedirect.com/science/article/pii/S0022316622110011?via%3Dihub" Type="http://schemas.openxmlformats.org/officeDocument/2006/relationships/hyperlink" Id="rId14"/></Relationships>
</file>

<file path=xl/worksheets/_rels/sheet3.xml.rels><?xml version="1.0" encoding="UTF-8"?><Relationships xmlns="http://schemas.openxmlformats.org/package/2006/relationships"><Relationship TargetMode="External" Target="https://www.fao.org/4/x9892e/X9892e05.htm" Type="http://schemas.openxmlformats.org/officeDocument/2006/relationships/hyperlink" Id="rId1"/></Relationships>
</file>

<file path=xl/worksheets/_rels/sheet4.xml.rels><?xml version="1.0" encoding="UTF-8"?><Relationships xmlns="http://schemas.openxmlformats.org/package/2006/relationships"><Relationship TargetMode="External" Target="http://www.foodemissions.com/Calculator" Type="http://schemas.openxmlformats.org/officeDocument/2006/relationships/hyperlink" Id="rId13"/><Relationship TargetMode="External" Target="http://www.foodemissions.com/Calculator" Type="http://schemas.openxmlformats.org/officeDocument/2006/relationships/hyperlink" Id="rId18"/><Relationship TargetMode="External" Target="http://www.foodemissions.com/Calculator" Type="http://schemas.openxmlformats.org/officeDocument/2006/relationships/hyperlink" Id="rId26"/><Relationship TargetMode="External" Target="http://foodemissions.com/" Type="http://schemas.openxmlformats.org/officeDocument/2006/relationships/hyperlink" Id="rId39"/><Relationship TargetMode="External" Target="http://www.foodemissions.com/Calculator" Type="http://schemas.openxmlformats.org/officeDocument/2006/relationships/hyperlink" Id="rId21"/><Relationship TargetMode="External" Target="http://foodemissions.com/" Type="http://schemas.openxmlformats.org/officeDocument/2006/relationships/hyperlink" Id="rId34"/><Relationship TargetMode="External" Target="http://foodemissions.com/" Type="http://schemas.openxmlformats.org/officeDocument/2006/relationships/hyperlink" Id="rId42"/><Relationship Target="../comments1.xml" Type="http://schemas.openxmlformats.org/officeDocument/2006/relationships/comments" Id="rId47"/><Relationship TargetMode="External" Target="http://www.foodemissions.com/Calculator" Type="http://schemas.openxmlformats.org/officeDocument/2006/relationships/hyperlink" Id="rId7"/><Relationship TargetMode="External" Target="http://ciachef.edu/" Type="http://schemas.openxmlformats.org/officeDocument/2006/relationships/hyperlink" Id="rId2"/><Relationship TargetMode="External" Target="http://www.foodemissions.com/Calculator" Type="http://schemas.openxmlformats.org/officeDocument/2006/relationships/hyperlink" Id="rId16"/><Relationship TargetMode="External" Target="http://www.foodemissions.com/Calculator" Type="http://schemas.openxmlformats.org/officeDocument/2006/relationships/hyperlink" Id="rId29"/><Relationship TargetMode="External" Target="http://nutritiondata.self.com/" Type="http://schemas.openxmlformats.org/officeDocument/2006/relationships/hyperlink" Id="rId1"/><Relationship TargetMode="External" Target="http://www.foodemissions.com/Calculator" Type="http://schemas.openxmlformats.org/officeDocument/2006/relationships/hyperlink" Id="rId6"/><Relationship TargetMode="External" Target="http://foodemissions.com/Calculator" Type="http://schemas.openxmlformats.org/officeDocument/2006/relationships/hyperlink" Id="rId11"/><Relationship TargetMode="External" Target="http://www.foodemissions.com/Calculator" Type="http://schemas.openxmlformats.org/officeDocument/2006/relationships/hyperlink" Id="rId24"/><Relationship TargetMode="External" Target="http://foodemissions.com/" Type="http://schemas.openxmlformats.org/officeDocument/2006/relationships/hyperlink" Id="rId32"/><Relationship TargetMode="External" Target="http://foodemissions.com/" Type="http://schemas.openxmlformats.org/officeDocument/2006/relationships/hyperlink" Id="rId37"/><Relationship TargetMode="External" Target="http://foodemissions.com/" Type="http://schemas.openxmlformats.org/officeDocument/2006/relationships/hyperlink" Id="rId40"/><Relationship TargetMode="External" Target="http://foodemissions.com/" Type="http://schemas.openxmlformats.org/officeDocument/2006/relationships/hyperlink" Id="rId45"/><Relationship TargetMode="External" Target="http://www.foodemissions.com/Calculator" Type="http://schemas.openxmlformats.org/officeDocument/2006/relationships/hyperlink" Id="rId5"/><Relationship TargetMode="External" Target="http://www.foodemissions.com/Calculator" Type="http://schemas.openxmlformats.org/officeDocument/2006/relationships/hyperlink" Id="rId15"/><Relationship TargetMode="External" Target="http://www.foodemissions.com/Calculator" Type="http://schemas.openxmlformats.org/officeDocument/2006/relationships/hyperlink" Id="rId23"/><Relationship TargetMode="External" Target="http://www.foodemissions.com/Calculator" Type="http://schemas.openxmlformats.org/officeDocument/2006/relationships/hyperlink" Id="rId28"/><Relationship TargetMode="External" Target="http://foodemissions.com/" Type="http://schemas.openxmlformats.org/officeDocument/2006/relationships/hyperlink" Id="rId36"/><Relationship TargetMode="External" Target="http://www.foodemissions.com/Calculator" Type="http://schemas.openxmlformats.org/officeDocument/2006/relationships/hyperlink" Id="rId10"/><Relationship TargetMode="External" Target="http://www.foodemissions.com/Calculator" Type="http://schemas.openxmlformats.org/officeDocument/2006/relationships/hyperlink" Id="rId19"/><Relationship TargetMode="External" Target="http://www.foodemissions.com/Calculator" Type="http://schemas.openxmlformats.org/officeDocument/2006/relationships/hyperlink" Id="rId31"/><Relationship TargetMode="External" Target="http://foodemissions.com/" Type="http://schemas.openxmlformats.org/officeDocument/2006/relationships/hyperlink" Id="rId44"/><Relationship TargetMode="External" Target="http://foodemissions.com/" Type="http://schemas.openxmlformats.org/officeDocument/2006/relationships/hyperlink" Id="rId4"/><Relationship TargetMode="External" Target="http://foodemissions.com/Calculator" Type="http://schemas.openxmlformats.org/officeDocument/2006/relationships/hyperlink" Id="rId9"/><Relationship TargetMode="External" Target="http://www.foodemissions.com/Calculator" Type="http://schemas.openxmlformats.org/officeDocument/2006/relationships/hyperlink" Id="rId14"/><Relationship TargetMode="External" Target="http://www.foodemissions.com/Calculator" Type="http://schemas.openxmlformats.org/officeDocument/2006/relationships/hyperlink" Id="rId22"/><Relationship TargetMode="External" Target="http://www.foodemissions.com/Calculator" Type="http://schemas.openxmlformats.org/officeDocument/2006/relationships/hyperlink" Id="rId27"/><Relationship TargetMode="External" Target="http://www.foodemissions.com/Calculator" Type="http://schemas.openxmlformats.org/officeDocument/2006/relationships/hyperlink" Id="rId30"/><Relationship TargetMode="External" Target="http://foodemissions.com/" Type="http://schemas.openxmlformats.org/officeDocument/2006/relationships/hyperlink" Id="rId35"/><Relationship TargetMode="External" Target="http://foodemissions.com/" Type="http://schemas.openxmlformats.org/officeDocument/2006/relationships/hyperlink" Id="rId43"/><Relationship TargetMode="External" Target="http://www.foodemissions.com/Calculator" Type="http://schemas.openxmlformats.org/officeDocument/2006/relationships/hyperlink" Id="rId8"/><Relationship TargetMode="External" Target="http://www.foodemissions.com/foodemissions/Calculator" Type="http://schemas.openxmlformats.org/officeDocument/2006/relationships/hyperlink" Id="rId3"/><Relationship TargetMode="External" Target="http://foodemissions.com/Calculator" Type="http://schemas.openxmlformats.org/officeDocument/2006/relationships/hyperlink" Id="rId12"/><Relationship TargetMode="External" Target="http://www.foodemissions.com/Calculator" Type="http://schemas.openxmlformats.org/officeDocument/2006/relationships/hyperlink" Id="rId17"/><Relationship TargetMode="External" Target="http://www.foodemissions.com/Calculator" Type="http://schemas.openxmlformats.org/officeDocument/2006/relationships/hyperlink" Id="rId25"/><Relationship TargetMode="External" Target="http://foodemissions.com/" Type="http://schemas.openxmlformats.org/officeDocument/2006/relationships/hyperlink" Id="rId33"/><Relationship TargetMode="External" Target="http://foodemissions.com/" Type="http://schemas.openxmlformats.org/officeDocument/2006/relationships/hyperlink" Id="rId38"/><Relationship Target="../drawings/vmlDrawing1.vml" Type="http://schemas.openxmlformats.org/officeDocument/2006/relationships/vmlDrawing" Id="rId46"/><Relationship TargetMode="External" Target="http://www.foodemissions.com/Calculator" Type="http://schemas.openxmlformats.org/officeDocument/2006/relationships/hyperlink" Id="rId20"/><Relationship TargetMode="External" Target="http://foodemissions.com/" Type="http://schemas.openxmlformats.org/officeDocument/2006/relationships/hyperlink" Id="rId41"/></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59C85-7258-8141-A70D-9D6E5EC7EB5D}">
  <dimension ref="A3:B6"/>
  <sheetViews>
    <sheetView tabSelected="true" workbookViewId="0">
      <selection activeCell="B3" sqref="B3"/>
    </sheetView>
  </sheetViews>
  <sheetFormatPr baseColWidth="10" defaultRowHeight="15"/>
  <cols>
    <col min="1" max="1" width="28.83203125" customWidth="true"/>
  </cols>
  <sheetData>
    <row r="3">
      <c r="A3" s="1" t="s">
        <v>1592</v>
      </c>
      <c r="B3" s="177" t="s">
        <v>1673</v>
      </c>
    </row>
    <row r="4">
      <c r="A4" s="1" t="s">
        <v>1593</v>
      </c>
      <c r="B4" s="188" t="s">
        <v>1598</v>
      </c>
    </row>
    <row r="5">
      <c r="A5" s="1" t="s">
        <v>1594</v>
      </c>
      <c r="B5" s="177" t="s">
        <v>1597</v>
      </c>
    </row>
    <row r="6">
      <c r="A6" s="1" t="s">
        <v>1595</v>
      </c>
      <c r="B6" s="177" t="s">
        <v>1596</v>
      </c>
    </row>
  </sheetData>
  <hyperlinks>
    <hyperlink ref="B4" location="'nutrient content'!A1" display="nutrient content"/>
    <hyperlink ref="B5" location="enviro!A1" display="enviro"/>
    <hyperlink ref="B6" location="summary!A1" display="summary"/>
    <hyperlink ref="B3" location="diets!A1" display="diets"/>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92EF0-DD8D-9849-9168-52B98BA10B7F}">
  <dimension ref="A1:CM78"/>
  <sheetViews>
    <sheetView workbookViewId="0">
      <pane xSplit="1" topLeftCell="B1" activePane="topRight" state="frozen"/>
      <selection pane="topRight"/>
    </sheetView>
  </sheetViews>
  <sheetFormatPr baseColWidth="10" defaultRowHeight="15"/>
  <cols>
    <col min="1" max="1" width="41.6640625" customWidth="1"/>
    <col min="2" max="2" width="9.33203125" customWidth="1"/>
    <col min="4" max="4" width="18.33203125" customWidth="1"/>
    <col min="5" max="5" width="7" customWidth="1"/>
    <col min="6" max="8" width="25.1640625" customWidth="1"/>
    <col min="9" max="9" width="18.5" customWidth="1"/>
    <col min="10" max="10" width="16.83203125" customWidth="1"/>
    <col min="11" max="14" width="12.6640625" bestFit="1" customWidth="1"/>
    <col min="20" max="20" width="33.5" customWidth="1"/>
    <col min="40" max="40" width="16.83203125" bestFit="1" customWidth="1"/>
    <col min="43" max="43" width="4.6640625" customWidth="1"/>
    <col min="45" max="46" width="11" bestFit="1" customWidth="1"/>
    <col min="47" max="47" width="11.6640625" bestFit="1" customWidth="1"/>
    <col min="48" max="48" width="11" bestFit="1" customWidth="1"/>
    <col min="53" max="53" width="4.6640625" customWidth="1"/>
    <col min="55" max="56" width="11" bestFit="1" customWidth="1"/>
    <col min="57" max="57" width="11.6640625" bestFit="1" customWidth="1"/>
    <col min="58" max="58" width="11" bestFit="1" customWidth="1"/>
    <col min="64" max="64" width="4.6640625" customWidth="1"/>
    <col min="66" max="67" width="11" bestFit="1" customWidth="1"/>
    <col min="68" max="68" width="11.6640625" bestFit="1" customWidth="1"/>
    <col min="69" max="69" width="11" bestFit="1" customWidth="1"/>
    <col min="75" max="75" width="4.6640625" customWidth="1"/>
    <col min="86" max="86" width="4.6640625" customWidth="1"/>
  </cols>
  <sheetData>
    <row r="1" spans="1:91" ht="33" thickBot="1">
      <c r="B1" s="185" t="s">
        <v>124</v>
      </c>
      <c r="C1" s="185" t="s">
        <v>125</v>
      </c>
      <c r="D1" s="218"/>
      <c r="E1" s="218"/>
      <c r="F1" s="218"/>
      <c r="G1" s="218"/>
      <c r="I1" s="354" t="s">
        <v>1586</v>
      </c>
      <c r="J1" s="354"/>
      <c r="K1" s="354"/>
      <c r="L1" s="354"/>
      <c r="M1" s="354"/>
      <c r="N1" s="354"/>
      <c r="U1" s="219"/>
      <c r="V1" s="357" t="s">
        <v>1581</v>
      </c>
      <c r="W1" s="357"/>
      <c r="X1" s="357"/>
      <c r="Y1" s="357"/>
      <c r="Z1" s="357"/>
      <c r="AA1" s="357"/>
      <c r="AB1" s="357"/>
      <c r="AE1" s="360" t="s">
        <v>1604</v>
      </c>
      <c r="AF1" s="361"/>
      <c r="AG1" s="361"/>
      <c r="AH1" s="361"/>
      <c r="AI1" s="361"/>
      <c r="AJ1" s="361"/>
      <c r="AK1" s="361"/>
      <c r="AL1" s="362"/>
      <c r="AO1" s="220"/>
      <c r="AP1" s="358" t="s">
        <v>1600</v>
      </c>
      <c r="AQ1" s="359"/>
      <c r="AR1" s="359"/>
      <c r="AS1" s="359"/>
      <c r="AT1" s="359"/>
      <c r="AU1" s="359"/>
      <c r="AV1" s="359"/>
      <c r="AY1" s="356" t="s">
        <v>1601</v>
      </c>
      <c r="AZ1" s="356"/>
      <c r="BA1" s="356"/>
      <c r="BB1" s="356"/>
      <c r="BC1" s="356"/>
      <c r="BD1" s="356"/>
      <c r="BE1" s="356"/>
      <c r="BF1" s="356"/>
      <c r="BJ1" s="355" t="s">
        <v>1602</v>
      </c>
      <c r="BK1" s="355"/>
      <c r="BL1" s="355"/>
      <c r="BM1" s="355"/>
      <c r="BN1" s="355"/>
      <c r="BO1" s="355"/>
      <c r="BP1" s="355"/>
      <c r="BQ1" s="355"/>
      <c r="BU1" s="352" t="s">
        <v>1603</v>
      </c>
      <c r="BV1" s="352"/>
      <c r="BW1" s="352"/>
      <c r="BX1" s="352"/>
      <c r="BY1" s="352"/>
      <c r="BZ1" s="352"/>
      <c r="CA1" s="352"/>
      <c r="CB1" s="352"/>
      <c r="CF1" s="353" t="s">
        <v>1605</v>
      </c>
      <c r="CG1" s="353"/>
      <c r="CH1" s="353"/>
      <c r="CI1" s="353"/>
      <c r="CJ1" s="353"/>
      <c r="CK1" s="353"/>
      <c r="CL1" s="353"/>
      <c r="CM1" s="353"/>
    </row>
    <row r="2" spans="1:91" ht="78" thickTop="1" thickBot="1">
      <c r="A2" s="161" t="s">
        <v>1015</v>
      </c>
      <c r="B2" s="186" t="s">
        <v>126</v>
      </c>
      <c r="C2" s="186" t="s">
        <v>127</v>
      </c>
      <c r="D2" s="187" t="s">
        <v>126</v>
      </c>
      <c r="E2" s="187" t="s">
        <v>127</v>
      </c>
      <c r="F2" s="187" t="s">
        <v>1548</v>
      </c>
      <c r="G2" s="187" t="s">
        <v>1579</v>
      </c>
      <c r="H2" s="161"/>
      <c r="I2" s="183" t="s">
        <v>1599</v>
      </c>
      <c r="J2" s="184" t="s">
        <v>1580</v>
      </c>
      <c r="K2" s="221" t="s">
        <v>135</v>
      </c>
      <c r="L2" s="222" t="s">
        <v>136</v>
      </c>
      <c r="M2" s="221" t="s">
        <v>1574</v>
      </c>
      <c r="N2" s="223" t="s">
        <v>141</v>
      </c>
      <c r="O2" s="1" t="s">
        <v>1554</v>
      </c>
      <c r="P2" s="1"/>
      <c r="Q2" s="1"/>
      <c r="R2" s="1"/>
      <c r="S2" s="1"/>
      <c r="T2" s="1"/>
      <c r="U2" s="178" t="s">
        <v>126</v>
      </c>
      <c r="V2" s="178" t="s">
        <v>127</v>
      </c>
      <c r="W2" s="179" t="s">
        <v>1548</v>
      </c>
      <c r="X2" s="180" t="s">
        <v>1607</v>
      </c>
      <c r="Y2" s="224" t="s">
        <v>1608</v>
      </c>
      <c r="Z2" s="225" t="s">
        <v>1609</v>
      </c>
      <c r="AA2" s="225" t="s">
        <v>1610</v>
      </c>
      <c r="AB2" s="226" t="s">
        <v>1611</v>
      </c>
      <c r="AE2" s="195" t="s">
        <v>126</v>
      </c>
      <c r="AF2" s="195" t="s">
        <v>127</v>
      </c>
      <c r="AG2" s="196" t="s">
        <v>1548</v>
      </c>
      <c r="AH2" s="196" t="s">
        <v>1607</v>
      </c>
      <c r="AI2" s="227" t="s">
        <v>1608</v>
      </c>
      <c r="AJ2" s="228" t="s">
        <v>1609</v>
      </c>
      <c r="AK2" s="229" t="s">
        <v>1612</v>
      </c>
      <c r="AL2" s="229" t="s">
        <v>1611</v>
      </c>
      <c r="AO2" s="200" t="s">
        <v>126</v>
      </c>
      <c r="AP2" s="200" t="s">
        <v>127</v>
      </c>
      <c r="AQ2" s="201" t="s">
        <v>1548</v>
      </c>
      <c r="AR2" s="201" t="s">
        <v>1607</v>
      </c>
      <c r="AS2" s="230" t="s">
        <v>1608</v>
      </c>
      <c r="AT2" s="231" t="s">
        <v>1609</v>
      </c>
      <c r="AU2" s="231" t="s">
        <v>1612</v>
      </c>
      <c r="AV2" s="232" t="s">
        <v>1611</v>
      </c>
      <c r="AY2" s="204" t="s">
        <v>126</v>
      </c>
      <c r="AZ2" s="204" t="s">
        <v>127</v>
      </c>
      <c r="BA2" s="205" t="s">
        <v>1548</v>
      </c>
      <c r="BB2" s="205" t="s">
        <v>1607</v>
      </c>
      <c r="BC2" s="233" t="s">
        <v>1608</v>
      </c>
      <c r="BD2" s="234" t="s">
        <v>1609</v>
      </c>
      <c r="BE2" s="234" t="s">
        <v>1612</v>
      </c>
      <c r="BF2" s="235" t="s">
        <v>1611</v>
      </c>
      <c r="BJ2" s="208" t="s">
        <v>126</v>
      </c>
      <c r="BK2" s="208" t="s">
        <v>127</v>
      </c>
      <c r="BL2" s="209" t="s">
        <v>1548</v>
      </c>
      <c r="BM2" s="209" t="s">
        <v>1607</v>
      </c>
      <c r="BN2" s="236" t="s">
        <v>1608</v>
      </c>
      <c r="BO2" s="237" t="s">
        <v>1609</v>
      </c>
      <c r="BP2" s="237" t="s">
        <v>1610</v>
      </c>
      <c r="BQ2" s="238" t="s">
        <v>1611</v>
      </c>
      <c r="BU2" s="190" t="s">
        <v>126</v>
      </c>
      <c r="BV2" s="190" t="s">
        <v>127</v>
      </c>
      <c r="BW2" s="191" t="s">
        <v>1548</v>
      </c>
      <c r="BX2" s="191" t="s">
        <v>1607</v>
      </c>
      <c r="BY2" s="239" t="s">
        <v>1608</v>
      </c>
      <c r="BZ2" s="240" t="s">
        <v>1609</v>
      </c>
      <c r="CA2" s="240" t="s">
        <v>1610</v>
      </c>
      <c r="CB2" s="241" t="s">
        <v>1611</v>
      </c>
      <c r="CF2" s="213" t="s">
        <v>126</v>
      </c>
      <c r="CG2" s="213" t="s">
        <v>127</v>
      </c>
      <c r="CH2" s="214" t="s">
        <v>1548</v>
      </c>
      <c r="CI2" s="214" t="s">
        <v>1607</v>
      </c>
      <c r="CJ2" s="242" t="s">
        <v>1608</v>
      </c>
      <c r="CK2" s="243" t="s">
        <v>1609</v>
      </c>
      <c r="CL2" s="243" t="s">
        <v>1610</v>
      </c>
      <c r="CM2" s="244" t="s">
        <v>1611</v>
      </c>
    </row>
    <row r="3" spans="1:91">
      <c r="A3" s="148" t="s">
        <v>14</v>
      </c>
      <c r="B3" s="218">
        <v>547</v>
      </c>
      <c r="C3" s="218">
        <v>27.6</v>
      </c>
      <c r="D3" s="218" t="s">
        <v>15</v>
      </c>
      <c r="E3" s="218" t="s">
        <v>16</v>
      </c>
      <c r="F3" s="218"/>
      <c r="G3" s="218"/>
      <c r="I3" s="245"/>
      <c r="J3" s="245"/>
      <c r="K3" s="245"/>
      <c r="L3" s="245"/>
      <c r="M3" s="245"/>
      <c r="N3" s="245"/>
      <c r="O3" s="246"/>
      <c r="U3" s="219"/>
      <c r="V3" s="219"/>
      <c r="W3" s="219"/>
      <c r="X3" s="219"/>
      <c r="Y3" s="219"/>
      <c r="Z3" s="219"/>
      <c r="AA3" s="219"/>
      <c r="AB3" s="219"/>
      <c r="AE3" s="247"/>
      <c r="AF3" s="247"/>
      <c r="AG3" s="247"/>
      <c r="AH3" s="247"/>
      <c r="AI3" s="247"/>
      <c r="AJ3" s="247"/>
      <c r="AK3" s="247"/>
      <c r="AL3" s="247"/>
      <c r="AO3" s="220"/>
      <c r="AP3" s="220"/>
      <c r="AQ3" s="220"/>
      <c r="AR3" s="220"/>
      <c r="AS3" s="220"/>
      <c r="AT3" s="220"/>
      <c r="AU3" s="220"/>
      <c r="AV3" s="220"/>
      <c r="AY3" s="248"/>
      <c r="AZ3" s="248"/>
      <c r="BA3" s="248"/>
      <c r="BB3" s="248"/>
      <c r="BC3" s="248"/>
      <c r="BD3" s="248"/>
      <c r="BE3" s="248"/>
      <c r="BF3" s="248"/>
      <c r="BJ3" s="249"/>
      <c r="BK3" s="249"/>
      <c r="BL3" s="249"/>
      <c r="BM3" s="249"/>
      <c r="BN3" s="249"/>
      <c r="BO3" s="249"/>
      <c r="BP3" s="249"/>
      <c r="BQ3" s="249"/>
      <c r="BU3" s="250"/>
      <c r="BV3" s="250"/>
      <c r="BW3" s="250"/>
      <c r="BX3" s="250"/>
      <c r="BY3" s="250"/>
      <c r="BZ3" s="250"/>
      <c r="CA3" s="250"/>
      <c r="CB3" s="250"/>
      <c r="CF3" s="251"/>
      <c r="CG3" s="251"/>
      <c r="CH3" s="251"/>
      <c r="CI3" s="251"/>
      <c r="CJ3" s="251"/>
      <c r="CK3" s="251"/>
      <c r="CL3" s="251"/>
      <c r="CM3" s="251"/>
    </row>
    <row r="4" spans="1:91">
      <c r="A4" s="149" t="s">
        <v>17</v>
      </c>
      <c r="B4" s="218">
        <v>136.19999999999999</v>
      </c>
      <c r="C4" s="218">
        <v>6.5</v>
      </c>
      <c r="D4" s="218" t="s">
        <v>18</v>
      </c>
      <c r="E4" s="218" t="s">
        <v>19</v>
      </c>
      <c r="F4" s="345">
        <f>B4/I4</f>
        <v>72.466081404628881</v>
      </c>
      <c r="G4" s="252">
        <f>F4*J4</f>
        <v>14.393575418994411</v>
      </c>
      <c r="H4" s="253"/>
      <c r="I4" s="254">
        <f>0.5*'nutrient content'!L189/100+0.5*'nutrient content'!L190/100</f>
        <v>1.8795000000000002</v>
      </c>
      <c r="J4" s="254">
        <f>0.5*'nutrient content'!M189/100+0.5*'nutrient content'!M190/100</f>
        <v>0.198625</v>
      </c>
      <c r="K4" s="256">
        <f>AVERAGE(enviro!AD18,enviro!AD19)</f>
        <v>0.17718519500960217</v>
      </c>
      <c r="L4" s="256">
        <f>AVERAGE(enviro!AE18,enviro!AE19)</f>
        <v>0.29670448698446067</v>
      </c>
      <c r="M4" s="256">
        <f>AVERAGE(enviro!AF18,enviro!AF19)</f>
        <v>6.8195411938221779</v>
      </c>
      <c r="N4" s="256">
        <f>AVERAGE(enviro!AG18,enviro!AG19)</f>
        <v>1.3680882700659907E-2</v>
      </c>
      <c r="O4" s="246" t="s">
        <v>1665</v>
      </c>
      <c r="U4" s="257">
        <f t="shared" ref="U4:U14" si="0">B4</f>
        <v>136.19999999999999</v>
      </c>
      <c r="V4" s="257"/>
      <c r="W4" s="257">
        <f>U4/I4</f>
        <v>72.466081404628881</v>
      </c>
      <c r="X4" s="258">
        <f>W4*J4</f>
        <v>14.393575418994411</v>
      </c>
      <c r="Y4" s="219">
        <f>$W4*K4</f>
        <v>12.839916765260874</v>
      </c>
      <c r="Z4" s="219">
        <f>$W4*L4</f>
        <v>21.501011506934578</v>
      </c>
      <c r="AA4" s="219">
        <f>$W4*M4</f>
        <v>494.18542729373797</v>
      </c>
      <c r="AB4" s="219">
        <f>$W4*N4</f>
        <v>0.99139995947319981</v>
      </c>
      <c r="AE4" s="259">
        <v>0</v>
      </c>
      <c r="AF4" s="259"/>
      <c r="AG4" s="259">
        <f>AE4/I4</f>
        <v>0</v>
      </c>
      <c r="AH4" s="260">
        <f>AG4*J4</f>
        <v>0</v>
      </c>
      <c r="AI4" s="247">
        <f>$AG4*K4</f>
        <v>0</v>
      </c>
      <c r="AJ4" s="247">
        <f>$AG4*L4</f>
        <v>0</v>
      </c>
      <c r="AK4" s="247">
        <f>$AG4*M4</f>
        <v>0</v>
      </c>
      <c r="AL4" s="247">
        <f>$AG4*N4</f>
        <v>0</v>
      </c>
      <c r="AO4" s="261">
        <f>AQ4*I4</f>
        <v>147.00770998025905</v>
      </c>
      <c r="AP4" s="261"/>
      <c r="AQ4" s="261">
        <v>78.216392647118397</v>
      </c>
      <c r="AR4" s="262">
        <f>AQ4*J4</f>
        <v>15.53573098953389</v>
      </c>
      <c r="AS4" s="263">
        <f>AQ4*K4</f>
        <v>13.858786784127286</v>
      </c>
      <c r="AT4" s="263">
        <f>AQ4*L4</f>
        <v>23.207154654138407</v>
      </c>
      <c r="AU4" s="263">
        <f>AQ4*M4</f>
        <v>533.39991168919403</v>
      </c>
      <c r="AV4" s="263">
        <f>AQ4*N4</f>
        <v>1.0700692930739848</v>
      </c>
      <c r="AY4" s="264">
        <f>BA4*I4</f>
        <v>175.29213507412015</v>
      </c>
      <c r="AZ4" s="264"/>
      <c r="BA4" s="264">
        <v>93.265301981441951</v>
      </c>
      <c r="BB4" s="265">
        <f>BA4*J4</f>
        <v>18.524820606063908</v>
      </c>
      <c r="BC4" s="266">
        <f>BA4*K4</f>
        <v>16.525230719211226</v>
      </c>
      <c r="BD4" s="266">
        <f>BA4*L4</f>
        <v>27.672233577854538</v>
      </c>
      <c r="BE4" s="266">
        <f>BA4*M4</f>
        <v>636.02656881670862</v>
      </c>
      <c r="BF4" s="266">
        <f>BA4*N4</f>
        <v>1.2759516564497313</v>
      </c>
      <c r="BJ4" s="267">
        <f>BL4*I4</f>
        <v>212.19849807763032</v>
      </c>
      <c r="BK4" s="267"/>
      <c r="BL4" s="267">
        <v>112.90156854356493</v>
      </c>
      <c r="BM4" s="268">
        <f>BL4*J4</f>
        <v>22.425074051965584</v>
      </c>
      <c r="BN4" s="269">
        <f>BL4*K4</f>
        <v>20.004486439281518</v>
      </c>
      <c r="BO4" s="269">
        <f>BL4*L4</f>
        <v>33.498401974459355</v>
      </c>
      <c r="BP4" s="269">
        <f>BL4*M4</f>
        <v>769.93689752997932</v>
      </c>
      <c r="BQ4" s="269">
        <f>BL4*N4</f>
        <v>1.5445931159650261</v>
      </c>
      <c r="BU4" s="270">
        <f>BW4*I4</f>
        <v>69.541499999999985</v>
      </c>
      <c r="BV4" s="270"/>
      <c r="BW4" s="270">
        <v>36.999999999999986</v>
      </c>
      <c r="BX4" s="271">
        <f>BW4*J4</f>
        <v>7.3491249999999972</v>
      </c>
      <c r="BY4" s="272">
        <f>BW4*K4</f>
        <v>6.5558522153552774</v>
      </c>
      <c r="BZ4" s="272">
        <f>BW4*L4</f>
        <v>10.978066018425041</v>
      </c>
      <c r="CA4" s="272">
        <f>BW4*M4</f>
        <v>252.32302417142049</v>
      </c>
      <c r="CB4" s="272">
        <f>BW4*N4</f>
        <v>0.50619265992441631</v>
      </c>
      <c r="CF4" s="273">
        <f>CH4*I4</f>
        <v>231.2656633907273</v>
      </c>
      <c r="CG4" s="273"/>
      <c r="CH4" s="273">
        <v>123.04637583970592</v>
      </c>
      <c r="CI4" s="274">
        <f>CH4*J4</f>
        <v>24.440086401161587</v>
      </c>
      <c r="CJ4" s="275">
        <f>CH4*K4</f>
        <v>21.801996098383093</v>
      </c>
      <c r="CK4" s="275">
        <f>CH4*L4</f>
        <v>36.508411818817081</v>
      </c>
      <c r="CL4" s="275">
        <f>CH4*M4</f>
        <v>839.11982878940046</v>
      </c>
      <c r="CM4" s="275">
        <f>CH4*N4</f>
        <v>1.6833830346043297</v>
      </c>
    </row>
    <row r="5" spans="1:91">
      <c r="A5" s="150" t="s">
        <v>1029</v>
      </c>
      <c r="B5" s="218">
        <v>82.9</v>
      </c>
      <c r="C5" s="218">
        <v>4.4000000000000004</v>
      </c>
      <c r="D5" s="218" t="s">
        <v>20</v>
      </c>
      <c r="E5" s="218" t="s">
        <v>21</v>
      </c>
      <c r="F5" s="345">
        <f t="shared" ref="F5:F43" si="1">B5/I5</f>
        <v>95.749916303983937</v>
      </c>
      <c r="G5" s="252">
        <f>F5*J5</f>
        <v>0.95888684298627391</v>
      </c>
      <c r="H5" s="346"/>
      <c r="I5" s="255">
        <f>'nutrient content'!$B$153/100</f>
        <v>0.86579710144927535</v>
      </c>
      <c r="J5" s="254">
        <f>'nutrient content'!C153/100</f>
        <v>1.0014492753623188E-2</v>
      </c>
      <c r="K5" s="256">
        <f>enviro!AD11</f>
        <v>2.3035091986275125E-3</v>
      </c>
      <c r="L5" s="256">
        <f>enviro!AE11</f>
        <v>2.6136647324626439E-2</v>
      </c>
      <c r="M5" s="256">
        <f>enviro!AF11</f>
        <v>2.6729545454545462</v>
      </c>
      <c r="N5" s="256">
        <f>enviro!AG11</f>
        <v>6.3848489820413751E-4</v>
      </c>
      <c r="O5" s="246"/>
      <c r="U5" s="257">
        <f t="shared" si="0"/>
        <v>82.9</v>
      </c>
      <c r="V5" s="257"/>
      <c r="W5" s="257">
        <f t="shared" ref="W5:W43" si="2">U5/I5</f>
        <v>95.749916303983937</v>
      </c>
      <c r="X5" s="258">
        <f t="shared" ref="X5:X43" si="3">W5*J5</f>
        <v>0.95888684298627391</v>
      </c>
      <c r="Y5" s="219">
        <f t="shared" ref="Y5:Y43" si="4">$W5*K5</f>
        <v>0.22056081297404143</v>
      </c>
      <c r="Z5" s="219">
        <f t="shared" ref="Z5:Z43" si="5">$W5*L5</f>
        <v>2.5025817937997274</v>
      </c>
      <c r="AA5" s="219">
        <f t="shared" ref="AA5:AA43" si="6">$W5*M5</f>
        <v>255.93517401162623</v>
      </c>
      <c r="AB5" s="219">
        <f t="shared" ref="AB5:AB43" si="7">$W5*N5</f>
        <v>6.1134875564403869E-2</v>
      </c>
      <c r="AE5" s="259">
        <v>0</v>
      </c>
      <c r="AF5" s="259"/>
      <c r="AG5" s="259">
        <f t="shared" ref="AG5:AG43" si="8">AE5/I5</f>
        <v>0</v>
      </c>
      <c r="AH5" s="260">
        <f t="shared" ref="AH5:AH43" si="9">AG5*J5</f>
        <v>0</v>
      </c>
      <c r="AI5" s="247">
        <f t="shared" ref="AI5:AI43" si="10">$AG5*K5</f>
        <v>0</v>
      </c>
      <c r="AJ5" s="247">
        <f t="shared" ref="AJ5:AJ43" si="11">$AG5*L5</f>
        <v>0</v>
      </c>
      <c r="AK5" s="247">
        <f t="shared" ref="AK5:AK43" si="12">$AG5*M5</f>
        <v>0</v>
      </c>
      <c r="AL5" s="247">
        <f t="shared" ref="AL5:AL43" si="13">$AG5*N5</f>
        <v>0</v>
      </c>
      <c r="AO5" s="261">
        <f t="shared" ref="AO5:AO14" si="14">AQ5*I5</f>
        <v>88.510087726721821</v>
      </c>
      <c r="AP5" s="261"/>
      <c r="AQ5" s="261">
        <v>102.22959580086719</v>
      </c>
      <c r="AR5" s="262">
        <f t="shared" ref="AR5:AR14" si="15">AQ5*J5</f>
        <v>1.0237775463536118</v>
      </c>
      <c r="AS5" s="263">
        <f t="shared" ref="AS5:AS14" si="16">AQ5*K5</f>
        <v>0.2354868142992701</v>
      </c>
      <c r="AT5" s="263">
        <f t="shared" ref="AT5:AT14" si="17">AQ5*L5</f>
        <v>2.6719388915863775</v>
      </c>
      <c r="AU5" s="263">
        <f t="shared" ref="AU5:AU14" si="18">AQ5*M5</f>
        <v>273.25506277590893</v>
      </c>
      <c r="AV5" s="263">
        <f t="shared" ref="AV5:AV14" si="19">AQ5*N5</f>
        <v>6.5272053068366809E-2</v>
      </c>
      <c r="AY5" s="264">
        <f t="shared" ref="AY5:AY24" si="20">BA5*I5</f>
        <v>88.658739658669717</v>
      </c>
      <c r="AZ5" s="264"/>
      <c r="BA5" s="264">
        <v>102.40128952876148</v>
      </c>
      <c r="BB5" s="265">
        <f t="shared" ref="BB5:BB24" si="21">BA5*J5</f>
        <v>1.0254969719474518</v>
      </c>
      <c r="BC5" s="266">
        <f>BA5*K5</f>
        <v>0.23588231238082125</v>
      </c>
      <c r="BD5" s="266">
        <f t="shared" ref="BD5:BD43" si="22">BA5*L5</f>
        <v>2.6764263900002012</v>
      </c>
      <c r="BE5" s="266">
        <f>BA5*M5</f>
        <v>273.71399230631005</v>
      </c>
      <c r="BF5" s="266">
        <f t="shared" ref="BF5:BF43" si="23">BA5*N5</f>
        <v>6.5381676920743689E-2</v>
      </c>
      <c r="BJ5" s="267">
        <f t="shared" ref="BJ5:BJ25" si="24">BL5*I5</f>
        <v>88.53935231391273</v>
      </c>
      <c r="BK5" s="267"/>
      <c r="BL5" s="267">
        <v>102.26339654603245</v>
      </c>
      <c r="BM5" s="268">
        <f t="shared" ref="BM5:BM43" si="25">BL5*J5</f>
        <v>1.0241160436711365</v>
      </c>
      <c r="BN5" s="269">
        <f t="shared" ref="BN5:BN24" si="26">BL5*K5</f>
        <v>0.23556467462667874</v>
      </c>
      <c r="BO5" s="269">
        <f t="shared" ref="BO5:BO24" si="27">BL5*L5</f>
        <v>2.6728223297420719</v>
      </c>
      <c r="BP5" s="269">
        <f t="shared" ref="BP5:BP24" si="28">BL5*M5</f>
        <v>273.34541063133821</v>
      </c>
      <c r="BQ5" s="269">
        <f t="shared" ref="BQ5:BQ24" si="29">BL5*N5</f>
        <v>6.5293634333702874E-2</v>
      </c>
      <c r="BU5" s="270">
        <f t="shared" ref="BU5:BU29" si="30">BW5*I5</f>
        <v>91.558043478264409</v>
      </c>
      <c r="BV5" s="270"/>
      <c r="BW5" s="270">
        <v>105.75000000000409</v>
      </c>
      <c r="BX5" s="271">
        <f t="shared" ref="BX5:BX24" si="31">BW5*J5</f>
        <v>1.0590326086956932</v>
      </c>
      <c r="BY5" s="272">
        <f t="shared" ref="BY5:BY24" si="32">BW5*K5</f>
        <v>0.24359609775486887</v>
      </c>
      <c r="BZ5" s="272">
        <f t="shared" ref="BZ5:BZ24" si="33">BW5*L5</f>
        <v>2.7639504545793527</v>
      </c>
      <c r="CA5" s="272">
        <f t="shared" ref="CA5:CA24" si="34">BW5*M5</f>
        <v>282.66494318182919</v>
      </c>
      <c r="CB5" s="272">
        <f t="shared" ref="CB5:CB24" si="35">BW5*N5</f>
        <v>6.7519777985090151E-2</v>
      </c>
      <c r="CF5" s="273">
        <f t="shared" ref="CF5:CF24" si="36">CH5*I5</f>
        <v>8.6579710144929081</v>
      </c>
      <c r="CG5" s="273"/>
      <c r="CH5" s="273">
        <v>10.000000000000179</v>
      </c>
      <c r="CI5" s="274">
        <f t="shared" ref="CI5:CI29" si="37">CH5*J5</f>
        <v>0.10014492753623368</v>
      </c>
      <c r="CJ5" s="275">
        <f t="shared" ref="CJ5:CJ24" si="38">CH5*K5</f>
        <v>2.3035091986275538E-2</v>
      </c>
      <c r="CK5" s="275">
        <f t="shared" ref="CK5:CK24" si="39">CH5*L5</f>
        <v>0.2613664732462691</v>
      </c>
      <c r="CL5" s="275">
        <f t="shared" ref="CL5:CL24" si="40">CH5*M5</f>
        <v>26.729545454545942</v>
      </c>
      <c r="CM5" s="275">
        <f t="shared" ref="CM5:CM24" si="41">CH5*N5</f>
        <v>6.3848489820414901E-3</v>
      </c>
    </row>
    <row r="6" spans="1:91">
      <c r="A6" s="149" t="s">
        <v>22</v>
      </c>
      <c r="B6" s="218">
        <v>70.7</v>
      </c>
      <c r="C6" s="218">
        <v>3.7</v>
      </c>
      <c r="D6" s="218" t="s">
        <v>23</v>
      </c>
      <c r="E6" s="218" t="s">
        <v>24</v>
      </c>
      <c r="F6" s="345">
        <f>B6/I6</f>
        <v>46.085122699386503</v>
      </c>
      <c r="G6" s="252">
        <f t="shared" ref="G6:G43" si="42">F6*J6</f>
        <v>4.3347124233128831</v>
      </c>
      <c r="H6" s="253"/>
      <c r="I6" s="255">
        <f>'nutrient content'!L210/100</f>
        <v>1.5341176470588236</v>
      </c>
      <c r="J6" s="255">
        <f>'nutrient content'!M210/100</f>
        <v>9.405882352941175E-2</v>
      </c>
      <c r="K6" s="256">
        <f>enviro!AD8</f>
        <v>2.0793191137648513E-2</v>
      </c>
      <c r="L6" s="256">
        <f>enviro!AE8</f>
        <v>6.1135713524352396E-2</v>
      </c>
      <c r="M6" s="256">
        <f>enviro!AF8</f>
        <v>8.6341785333333316</v>
      </c>
      <c r="N6" s="256">
        <f>enviro!AG8</f>
        <v>3.8352346564954876E-3</v>
      </c>
      <c r="O6" s="246"/>
      <c r="U6" s="257">
        <f t="shared" si="0"/>
        <v>70.7</v>
      </c>
      <c r="V6" s="257"/>
      <c r="W6" s="257">
        <f t="shared" si="2"/>
        <v>46.085122699386503</v>
      </c>
      <c r="X6" s="258">
        <f t="shared" si="3"/>
        <v>4.3347124233128831</v>
      </c>
      <c r="Y6" s="219">
        <f t="shared" si="4"/>
        <v>0.95825676489032774</v>
      </c>
      <c r="Z6" s="219">
        <f t="shared" si="5"/>
        <v>2.8174468590843231</v>
      </c>
      <c r="AA6" s="219">
        <f t="shared" si="6"/>
        <v>397.90717711707561</v>
      </c>
      <c r="AB6" s="219">
        <f t="shared" si="7"/>
        <v>0.17674725972553398</v>
      </c>
      <c r="AE6" s="259">
        <v>0</v>
      </c>
      <c r="AF6" s="259"/>
      <c r="AG6" s="259">
        <f t="shared" si="8"/>
        <v>0</v>
      </c>
      <c r="AH6" s="260">
        <f t="shared" si="9"/>
        <v>0</v>
      </c>
      <c r="AI6" s="247">
        <f t="shared" si="10"/>
        <v>0</v>
      </c>
      <c r="AJ6" s="247">
        <f t="shared" si="11"/>
        <v>0</v>
      </c>
      <c r="AK6" s="247">
        <f t="shared" si="12"/>
        <v>0</v>
      </c>
      <c r="AL6" s="247">
        <f t="shared" si="13"/>
        <v>0</v>
      </c>
      <c r="AO6" s="261">
        <f t="shared" si="14"/>
        <v>80.238423968912016</v>
      </c>
      <c r="AP6" s="261"/>
      <c r="AQ6" s="261">
        <v>52.302653660717191</v>
      </c>
      <c r="AR6" s="262">
        <f t="shared" si="15"/>
        <v>4.9195260707933395</v>
      </c>
      <c r="AS6" s="263">
        <f t="shared" si="16"/>
        <v>1.0875390745735243</v>
      </c>
      <c r="AT6" s="263">
        <f t="shared" si="17"/>
        <v>3.1975600507650275</v>
      </c>
      <c r="AU6" s="263">
        <f t="shared" si="18"/>
        <v>451.59044947373235</v>
      </c>
      <c r="AV6" s="263">
        <f t="shared" si="19"/>
        <v>0.20059294994626314</v>
      </c>
      <c r="AY6" s="264">
        <f t="shared" si="20"/>
        <v>91.723163074289957</v>
      </c>
      <c r="AZ6" s="264"/>
      <c r="BA6" s="264">
        <v>59.788871635848508</v>
      </c>
      <c r="BB6" s="265">
        <f t="shared" si="21"/>
        <v>5.6236709262189262</v>
      </c>
      <c r="BC6" s="266">
        <f t="shared" ref="BC6:BC43" si="43">BA6*K6</f>
        <v>1.2432014358285297</v>
      </c>
      <c r="BD6" s="266">
        <f t="shared" si="22"/>
        <v>3.6552353282735131</v>
      </c>
      <c r="BE6" s="266">
        <f t="shared" ref="BE6:BE43" si="44">BA6*M6</f>
        <v>516.22779201046535</v>
      </c>
      <c r="BF6" s="266">
        <f t="shared" si="23"/>
        <v>0.22930435257056625</v>
      </c>
      <c r="BJ6" s="267">
        <f t="shared" si="24"/>
        <v>102.68414690140239</v>
      </c>
      <c r="BK6" s="267"/>
      <c r="BL6" s="267">
        <v>66.933684713337442</v>
      </c>
      <c r="BM6" s="268">
        <f t="shared" si="25"/>
        <v>6.2957036386250911</v>
      </c>
      <c r="BN6" s="269">
        <f t="shared" si="26"/>
        <v>1.391764899791528</v>
      </c>
      <c r="BO6" s="269">
        <f t="shared" si="27"/>
        <v>4.0920385737639231</v>
      </c>
      <c r="BP6" s="269">
        <f t="shared" si="28"/>
        <v>577.91738370879955</v>
      </c>
      <c r="BQ6" s="269">
        <f t="shared" si="29"/>
        <v>0.25670638729953399</v>
      </c>
      <c r="BU6" s="270">
        <f t="shared" si="30"/>
        <v>56.762352941176459</v>
      </c>
      <c r="BV6" s="270"/>
      <c r="BW6" s="270">
        <v>36.999999999999993</v>
      </c>
      <c r="BX6" s="271">
        <f t="shared" si="31"/>
        <v>3.4801764705882339</v>
      </c>
      <c r="BY6" s="272">
        <f t="shared" si="32"/>
        <v>0.76934807209299483</v>
      </c>
      <c r="BZ6" s="272">
        <f t="shared" si="33"/>
        <v>2.2620214004010384</v>
      </c>
      <c r="CA6" s="272">
        <f t="shared" si="34"/>
        <v>319.4646057333332</v>
      </c>
      <c r="CB6" s="272">
        <f t="shared" si="35"/>
        <v>0.14190368229033301</v>
      </c>
      <c r="CF6" s="273">
        <f t="shared" si="36"/>
        <v>111.02983336505312</v>
      </c>
      <c r="CG6" s="273"/>
      <c r="CH6" s="273">
        <v>72.373741073845977</v>
      </c>
      <c r="CI6" s="274">
        <f t="shared" si="37"/>
        <v>6.8073889398282175</v>
      </c>
      <c r="CJ6" s="275">
        <f t="shared" si="38"/>
        <v>1.5048810314951624</v>
      </c>
      <c r="CK6" s="275">
        <f t="shared" si="39"/>
        <v>4.4246203009763043</v>
      </c>
      <c r="CL6" s="275">
        <f t="shared" si="40"/>
        <v>624.88780155682571</v>
      </c>
      <c r="CM6" s="275">
        <f t="shared" si="41"/>
        <v>0.27757027998664502</v>
      </c>
    </row>
    <row r="7" spans="1:91">
      <c r="A7" s="149" t="s">
        <v>25</v>
      </c>
      <c r="B7" s="218">
        <v>59.3</v>
      </c>
      <c r="C7" s="218">
        <v>3</v>
      </c>
      <c r="D7" s="218" t="s">
        <v>26</v>
      </c>
      <c r="E7" s="218" t="s">
        <v>27</v>
      </c>
      <c r="F7" s="345">
        <f t="shared" si="1"/>
        <v>16.872736678737713</v>
      </c>
      <c r="G7" s="252">
        <f t="shared" si="42"/>
        <v>2.4020641489912058</v>
      </c>
      <c r="H7" s="346"/>
      <c r="I7" s="255">
        <f>'nutrient content'!B44/100</f>
        <v>3.5145454545454542</v>
      </c>
      <c r="J7" s="255">
        <f>'nutrient content'!C44/100</f>
        <v>0.14236363636363639</v>
      </c>
      <c r="K7" s="256">
        <f>enviro!AD13</f>
        <v>5.8084261265269332E-3</v>
      </c>
      <c r="L7" s="256">
        <f>enviro!AE13</f>
        <v>9.5654114034282797E-2</v>
      </c>
      <c r="M7" s="256">
        <f>enviro!AF13</f>
        <v>0.92625252594771978</v>
      </c>
      <c r="N7" s="256">
        <f>enviro!AG13</f>
        <v>4.405635598064823E-4</v>
      </c>
      <c r="O7" s="246"/>
      <c r="U7" s="257">
        <f t="shared" si="0"/>
        <v>59.3</v>
      </c>
      <c r="V7" s="257"/>
      <c r="W7" s="257">
        <f t="shared" si="2"/>
        <v>16.872736678737713</v>
      </c>
      <c r="X7" s="258">
        <f t="shared" si="3"/>
        <v>2.4020641489912058</v>
      </c>
      <c r="Y7" s="219">
        <f>$W7*K7</f>
        <v>9.8004044550789413E-2</v>
      </c>
      <c r="Z7" s="219">
        <f t="shared" si="5"/>
        <v>1.6139466783384031</v>
      </c>
      <c r="AA7" s="219">
        <f t="shared" si="6"/>
        <v>15.628414968331546</v>
      </c>
      <c r="AB7" s="219">
        <f t="shared" si="7"/>
        <v>7.4335129348620903E-3</v>
      </c>
      <c r="AE7" s="259">
        <v>0</v>
      </c>
      <c r="AF7" s="259"/>
      <c r="AG7" s="259">
        <f t="shared" si="8"/>
        <v>0</v>
      </c>
      <c r="AH7" s="260">
        <f t="shared" si="9"/>
        <v>0</v>
      </c>
      <c r="AI7" s="247">
        <f t="shared" si="10"/>
        <v>0</v>
      </c>
      <c r="AJ7" s="247">
        <f t="shared" si="11"/>
        <v>0</v>
      </c>
      <c r="AK7" s="247">
        <f t="shared" si="12"/>
        <v>0</v>
      </c>
      <c r="AL7" s="247">
        <f t="shared" si="13"/>
        <v>0</v>
      </c>
      <c r="AO7" s="261">
        <f t="shared" si="14"/>
        <v>80.704278497006953</v>
      </c>
      <c r="AP7" s="261"/>
      <c r="AQ7" s="261">
        <v>22.962934906028881</v>
      </c>
      <c r="AR7" s="262">
        <f t="shared" si="15"/>
        <v>3.2690869148037485</v>
      </c>
      <c r="AS7" s="263">
        <f t="shared" si="16"/>
        <v>0.13337851104991544</v>
      </c>
      <c r="AT7" s="263">
        <f t="shared" si="17"/>
        <v>2.1964991940630996</v>
      </c>
      <c r="AU7" s="263">
        <f t="shared" si="18"/>
        <v>21.269476459882316</v>
      </c>
      <c r="AV7" s="263">
        <f t="shared" si="19"/>
        <v>1.0116632345804615E-2</v>
      </c>
      <c r="AY7" s="264">
        <f t="shared" si="20"/>
        <v>159.38768492403941</v>
      </c>
      <c r="AZ7" s="264"/>
      <c r="BA7" s="264">
        <v>45.350867412427149</v>
      </c>
      <c r="BB7" s="265">
        <f t="shared" si="21"/>
        <v>6.4563143970782662</v>
      </c>
      <c r="BC7" s="266">
        <f t="shared" si="43"/>
        <v>0.26341716313900077</v>
      </c>
      <c r="BD7" s="266">
        <f t="shared" si="22"/>
        <v>4.3379970430219466</v>
      </c>
      <c r="BE7" s="266">
        <f t="shared" si="44"/>
        <v>42.006355494680776</v>
      </c>
      <c r="BF7" s="266">
        <f t="shared" si="23"/>
        <v>1.9979939587530696E-2</v>
      </c>
      <c r="BJ7" s="267">
        <f t="shared" si="24"/>
        <v>188.62766696462398</v>
      </c>
      <c r="BK7" s="267"/>
      <c r="BL7" s="267">
        <v>53.670572597280497</v>
      </c>
      <c r="BM7" s="268">
        <f t="shared" si="25"/>
        <v>7.6407378806673885</v>
      </c>
      <c r="BN7" s="269">
        <f t="shared" si="26"/>
        <v>0.3117415560997045</v>
      </c>
      <c r="BO7" s="269">
        <f t="shared" si="27"/>
        <v>5.1338110715055221</v>
      </c>
      <c r="BP7" s="269">
        <f t="shared" si="28"/>
        <v>49.712503437291531</v>
      </c>
      <c r="BQ7" s="269">
        <f t="shared" si="29"/>
        <v>2.3645298520310137E-2</v>
      </c>
      <c r="BU7" s="270">
        <f t="shared" si="30"/>
        <v>358.30534922739878</v>
      </c>
      <c r="BV7" s="270"/>
      <c r="BW7" s="270">
        <v>101.94927163738714</v>
      </c>
      <c r="BX7" s="271">
        <f t="shared" si="31"/>
        <v>14.513869034922571</v>
      </c>
      <c r="BY7" s="272">
        <f t="shared" si="32"/>
        <v>0.59216481295899071</v>
      </c>
      <c r="BZ7" s="272">
        <f t="shared" si="33"/>
        <v>9.7518672549147034</v>
      </c>
      <c r="CA7" s="272">
        <f t="shared" si="34"/>
        <v>94.430770372660064</v>
      </c>
      <c r="CB7" s="272">
        <f t="shared" si="35"/>
        <v>4.491513403224532E-2</v>
      </c>
      <c r="CF7" s="273">
        <f t="shared" si="36"/>
        <v>164.15825643102809</v>
      </c>
      <c r="CG7" s="273"/>
      <c r="CH7" s="273">
        <v>46.708246785859004</v>
      </c>
      <c r="CI7" s="274">
        <f t="shared" si="37"/>
        <v>6.6495558606050196</v>
      </c>
      <c r="CJ7" s="275">
        <f t="shared" si="38"/>
        <v>0.27130140095525107</v>
      </c>
      <c r="CK7" s="275">
        <f t="shared" si="39"/>
        <v>4.46783596439598</v>
      </c>
      <c r="CL7" s="275">
        <f t="shared" si="40"/>
        <v>43.263631567991368</v>
      </c>
      <c r="CM7" s="275">
        <f t="shared" si="41"/>
        <v>2.0577951476297728E-2</v>
      </c>
    </row>
    <row r="8" spans="1:91">
      <c r="A8" s="149" t="s">
        <v>29</v>
      </c>
      <c r="B8" s="218">
        <v>32.4</v>
      </c>
      <c r="C8" s="218">
        <v>1.6</v>
      </c>
      <c r="D8" s="218" t="s">
        <v>30</v>
      </c>
      <c r="E8" s="218" t="s">
        <v>31</v>
      </c>
      <c r="F8" s="345">
        <f t="shared" si="1"/>
        <v>14.959261271048343</v>
      </c>
      <c r="G8" s="252">
        <f t="shared" si="42"/>
        <v>0.31062466051059201</v>
      </c>
      <c r="H8" s="253"/>
      <c r="I8" s="255">
        <f>'nutrient content'!G37/100</f>
        <v>2.1658823529411766</v>
      </c>
      <c r="J8" s="255">
        <f>'nutrient content'!H37/100</f>
        <v>2.0764705882352939E-2</v>
      </c>
      <c r="K8" s="256">
        <f>AVERAGE(enviro!R281,enviro!R252)</f>
        <v>1.4733495105859402E-3</v>
      </c>
      <c r="L8" s="256">
        <f>AVERAGE(enviro!S281,enviro!S252)</f>
        <v>1.4826502948130756E-2</v>
      </c>
      <c r="M8" s="256">
        <f>AVERAGE(enviro!T281,enviro!T252)</f>
        <v>0.5934021652</v>
      </c>
      <c r="N8" s="256">
        <f>AVERAGE(enviro!U281,enviro!U252)</f>
        <v>5.814203954591726E-4</v>
      </c>
      <c r="O8" s="246" t="s">
        <v>1564</v>
      </c>
      <c r="U8" s="257">
        <f t="shared" si="0"/>
        <v>32.4</v>
      </c>
      <c r="V8" s="257"/>
      <c r="W8" s="257">
        <f t="shared" si="2"/>
        <v>14.959261271048343</v>
      </c>
      <c r="X8" s="258">
        <f t="shared" si="3"/>
        <v>0.31062466051059201</v>
      </c>
      <c r="Y8" s="219">
        <f t="shared" si="4"/>
        <v>2.2040220272426286E-2</v>
      </c>
      <c r="Z8" s="219">
        <f t="shared" si="5"/>
        <v>0.22179353133705648</v>
      </c>
      <c r="AA8" s="219">
        <f t="shared" si="6"/>
        <v>8.8768580280325899</v>
      </c>
      <c r="AB8" s="219">
        <f t="shared" si="7"/>
        <v>8.6976196039900127E-3</v>
      </c>
      <c r="AE8" s="259">
        <v>0</v>
      </c>
      <c r="AF8" s="259"/>
      <c r="AG8" s="259">
        <f t="shared" si="8"/>
        <v>0</v>
      </c>
      <c r="AH8" s="260">
        <f t="shared" si="9"/>
        <v>0</v>
      </c>
      <c r="AI8" s="247">
        <f t="shared" si="10"/>
        <v>0</v>
      </c>
      <c r="AJ8" s="247">
        <f t="shared" si="11"/>
        <v>0</v>
      </c>
      <c r="AK8" s="247">
        <f t="shared" si="12"/>
        <v>0</v>
      </c>
      <c r="AL8" s="247">
        <f t="shared" si="13"/>
        <v>0</v>
      </c>
      <c r="AO8" s="261">
        <f t="shared" si="14"/>
        <v>47.487442375873542</v>
      </c>
      <c r="AP8" s="261"/>
      <c r="AQ8" s="261">
        <v>21.925217826992128</v>
      </c>
      <c r="AR8" s="262">
        <f t="shared" si="15"/>
        <v>0.45527069958401295</v>
      </c>
      <c r="AS8" s="263">
        <f t="shared" si="16"/>
        <v>3.2303508954888982E-2</v>
      </c>
      <c r="AT8" s="263">
        <f t="shared" si="17"/>
        <v>0.3250743067503078</v>
      </c>
      <c r="AU8" s="263">
        <f t="shared" si="18"/>
        <v>13.010471731018768</v>
      </c>
      <c r="AV8" s="263">
        <f t="shared" si="19"/>
        <v>1.2747768819498264E-2</v>
      </c>
      <c r="AY8" s="264">
        <f t="shared" si="20"/>
        <v>64.149611434530541</v>
      </c>
      <c r="AZ8" s="264"/>
      <c r="BA8" s="264">
        <v>29.618234502634959</v>
      </c>
      <c r="BB8" s="265">
        <f t="shared" si="21"/>
        <v>0.61501392820177292</v>
      </c>
      <c r="BC8" s="266">
        <f t="shared" si="43"/>
        <v>4.3638011308876824E-2</v>
      </c>
      <c r="BD8" s="266">
        <f t="shared" si="22"/>
        <v>0.43913484117174528</v>
      </c>
      <c r="BE8" s="266">
        <f t="shared" si="44"/>
        <v>17.575524483264928</v>
      </c>
      <c r="BF8" s="266">
        <f t="shared" si="23"/>
        <v>1.7220645617324528E-2</v>
      </c>
      <c r="BJ8" s="267">
        <f t="shared" si="24"/>
        <v>57.786711410947298</v>
      </c>
      <c r="BK8" s="267"/>
      <c r="BL8" s="267">
        <v>26.680447962686149</v>
      </c>
      <c r="BM8" s="268">
        <f t="shared" si="25"/>
        <v>0.55401165475460057</v>
      </c>
      <c r="BN8" s="269">
        <f t="shared" si="26"/>
        <v>3.9309624948037282E-2</v>
      </c>
      <c r="BO8" s="269">
        <f t="shared" si="27"/>
        <v>0.3955777403762154</v>
      </c>
      <c r="BP8" s="269">
        <f t="shared" si="28"/>
        <v>15.83223558956389</v>
      </c>
      <c r="BQ8" s="269">
        <f t="shared" si="29"/>
        <v>1.5512556605492856E-2</v>
      </c>
      <c r="BU8" s="270">
        <f t="shared" si="30"/>
        <v>65.327436672978521</v>
      </c>
      <c r="BV8" s="270"/>
      <c r="BW8" s="270">
        <v>30.162043004905886</v>
      </c>
      <c r="BX8" s="271">
        <f t="shared" si="31"/>
        <v>0.6263059518077515</v>
      </c>
      <c r="BY8" s="272">
        <f t="shared" si="32"/>
        <v>4.4439231299550165E-2</v>
      </c>
      <c r="BZ8" s="272">
        <f t="shared" si="33"/>
        <v>0.44719761953388376</v>
      </c>
      <c r="CA8" s="272">
        <f t="shared" si="34"/>
        <v>17.898221625966666</v>
      </c>
      <c r="CB8" s="272">
        <f t="shared" si="35"/>
        <v>1.7536826971768952E-2</v>
      </c>
      <c r="CF8" s="273">
        <f t="shared" si="36"/>
        <v>33.073179651421732</v>
      </c>
      <c r="CG8" s="273"/>
      <c r="CH8" s="273">
        <v>15.27007208240547</v>
      </c>
      <c r="CI8" s="274">
        <f t="shared" si="37"/>
        <v>0.31707855559347825</v>
      </c>
      <c r="CJ8" s="275">
        <f t="shared" si="38"/>
        <v>2.2498153229224126E-2</v>
      </c>
      <c r="CK8" s="275">
        <f t="shared" si="39"/>
        <v>0.22640176874795387</v>
      </c>
      <c r="CL8" s="275">
        <f t="shared" si="40"/>
        <v>9.0612938364594786</v>
      </c>
      <c r="CM8" s="275">
        <f t="shared" si="41"/>
        <v>8.8783313488422604E-3</v>
      </c>
    </row>
    <row r="9" spans="1:91">
      <c r="A9" s="149" t="s">
        <v>34</v>
      </c>
      <c r="B9" s="218">
        <v>33.299999999999997</v>
      </c>
      <c r="C9" s="218">
        <v>1.7</v>
      </c>
      <c r="D9" s="218" t="s">
        <v>35</v>
      </c>
      <c r="E9" s="218" t="s">
        <v>33</v>
      </c>
      <c r="F9" s="345">
        <f t="shared" si="1"/>
        <v>15.095194922937443</v>
      </c>
      <c r="G9" s="252">
        <f t="shared" si="42"/>
        <v>2.7171350861287391</v>
      </c>
      <c r="H9" s="346"/>
      <c r="I9" s="255">
        <f>'nutrient content'!B208/100</f>
        <v>2.206</v>
      </c>
      <c r="J9" s="255">
        <f>'nutrient content'!C208/100</f>
        <v>0.17999999999999997</v>
      </c>
      <c r="K9" s="256">
        <f>enviro!AD9</f>
        <v>4.0165275294130297E-3</v>
      </c>
      <c r="L9" s="256">
        <f>enviro!AE9</f>
        <v>3.2725331200335404E-2</v>
      </c>
      <c r="M9" s="256">
        <f>enviro!AF9</f>
        <v>1.0329999999999999</v>
      </c>
      <c r="N9" s="256">
        <f>enviro!AG9</f>
        <v>2.0392735E-3</v>
      </c>
      <c r="O9" s="246"/>
      <c r="U9" s="257">
        <f t="shared" si="0"/>
        <v>33.299999999999997</v>
      </c>
      <c r="V9" s="257"/>
      <c r="W9" s="257">
        <f t="shared" si="2"/>
        <v>15.095194922937443</v>
      </c>
      <c r="X9" s="258">
        <f t="shared" si="3"/>
        <v>2.7171350861287391</v>
      </c>
      <c r="Y9" s="219">
        <f t="shared" si="4"/>
        <v>6.0630265969834035E-2</v>
      </c>
      <c r="Z9" s="219">
        <f t="shared" si="5"/>
        <v>0.49399525338674932</v>
      </c>
      <c r="AA9" s="219">
        <f t="shared" si="6"/>
        <v>15.593336355394378</v>
      </c>
      <c r="AB9" s="219">
        <f t="shared" si="7"/>
        <v>3.0783230983680871E-2</v>
      </c>
      <c r="AE9" s="259">
        <v>0</v>
      </c>
      <c r="AF9" s="259"/>
      <c r="AG9" s="259">
        <f t="shared" si="8"/>
        <v>0</v>
      </c>
      <c r="AH9" s="260">
        <f t="shared" si="9"/>
        <v>0</v>
      </c>
      <c r="AI9" s="247">
        <f t="shared" si="10"/>
        <v>0</v>
      </c>
      <c r="AJ9" s="247">
        <f t="shared" si="11"/>
        <v>0</v>
      </c>
      <c r="AK9" s="247">
        <f t="shared" si="12"/>
        <v>0</v>
      </c>
      <c r="AL9" s="247">
        <f t="shared" si="13"/>
        <v>0</v>
      </c>
      <c r="AO9" s="261">
        <f t="shared" si="14"/>
        <v>46.142925264820249</v>
      </c>
      <c r="AP9" s="261"/>
      <c r="AQ9" s="261">
        <v>20.917010546156053</v>
      </c>
      <c r="AR9" s="262">
        <f t="shared" si="15"/>
        <v>3.765061898308089</v>
      </c>
      <c r="AS9" s="263">
        <f t="shared" si="16"/>
        <v>8.4013748691658452E-2</v>
      </c>
      <c r="AT9" s="263">
        <f t="shared" si="17"/>
        <v>0.68451609784386536</v>
      </c>
      <c r="AU9" s="263">
        <f t="shared" si="18"/>
        <v>21.607271894179203</v>
      </c>
      <c r="AV9" s="263">
        <f t="shared" si="19"/>
        <v>4.2655505305996565E-2</v>
      </c>
      <c r="AY9" s="264">
        <f t="shared" si="20"/>
        <v>81.849755035049796</v>
      </c>
      <c r="AZ9" s="264"/>
      <c r="BA9" s="264">
        <v>37.103243442905622</v>
      </c>
      <c r="BB9" s="265">
        <f t="shared" si="21"/>
        <v>6.678583819723011</v>
      </c>
      <c r="BC9" s="266">
        <f t="shared" si="43"/>
        <v>0.1490261987189439</v>
      </c>
      <c r="BD9" s="266">
        <f t="shared" si="22"/>
        <v>1.2142159302757594</v>
      </c>
      <c r="BE9" s="266">
        <f t="shared" si="44"/>
        <v>38.327650476521505</v>
      </c>
      <c r="BF9" s="266">
        <f t="shared" si="23"/>
        <v>7.56636611171662E-2</v>
      </c>
      <c r="BJ9" s="267">
        <f t="shared" si="24"/>
        <v>118.00972375814236</v>
      </c>
      <c r="BK9" s="267"/>
      <c r="BL9" s="267">
        <v>53.494888376311131</v>
      </c>
      <c r="BM9" s="268">
        <f t="shared" si="25"/>
        <v>9.629079907736001</v>
      </c>
      <c r="BN9" s="269">
        <f t="shared" si="26"/>
        <v>0.21486369184633075</v>
      </c>
      <c r="BO9" s="269">
        <f t="shared" si="27"/>
        <v>1.7506379396397544</v>
      </c>
      <c r="BP9" s="269">
        <f t="shared" si="28"/>
        <v>55.260219692729393</v>
      </c>
      <c r="BQ9" s="269">
        <f t="shared" si="29"/>
        <v>0.10909070825126932</v>
      </c>
      <c r="BU9" s="270">
        <f t="shared" si="30"/>
        <v>81.621999999999929</v>
      </c>
      <c r="BV9" s="270"/>
      <c r="BW9" s="270">
        <v>36.999999999999972</v>
      </c>
      <c r="BX9" s="271">
        <f t="shared" si="31"/>
        <v>6.6599999999999939</v>
      </c>
      <c r="BY9" s="272">
        <f t="shared" si="32"/>
        <v>0.14861151858828198</v>
      </c>
      <c r="BZ9" s="272">
        <f t="shared" si="33"/>
        <v>1.2108372544124091</v>
      </c>
      <c r="CA9" s="272">
        <f t="shared" si="34"/>
        <v>38.220999999999968</v>
      </c>
      <c r="CB9" s="272">
        <f t="shared" si="35"/>
        <v>7.5453119499999943E-2</v>
      </c>
      <c r="CF9" s="273">
        <f t="shared" si="36"/>
        <v>139.61284305069736</v>
      </c>
      <c r="CG9" s="273"/>
      <c r="CH9" s="273">
        <v>63.287780168040513</v>
      </c>
      <c r="CI9" s="274">
        <f t="shared" si="37"/>
        <v>11.39180043024729</v>
      </c>
      <c r="CJ9" s="275">
        <f t="shared" si="38"/>
        <v>0.2541971113203747</v>
      </c>
      <c r="CK9" s="275">
        <f t="shared" si="39"/>
        <v>2.0711135669331444</v>
      </c>
      <c r="CL9" s="275">
        <f t="shared" si="40"/>
        <v>65.376276913585841</v>
      </c>
      <c r="CM9" s="275">
        <f t="shared" si="41"/>
        <v>0.12906109297051058</v>
      </c>
    </row>
    <row r="10" spans="1:91">
      <c r="A10" s="149" t="s">
        <v>36</v>
      </c>
      <c r="B10" s="218">
        <v>38.4</v>
      </c>
      <c r="C10" s="218">
        <v>1.9</v>
      </c>
      <c r="D10" s="218" t="s">
        <v>37</v>
      </c>
      <c r="E10" s="218" t="s">
        <v>38</v>
      </c>
      <c r="F10" s="345">
        <f t="shared" si="1"/>
        <v>10.926021727884118</v>
      </c>
      <c r="G10" s="252">
        <f t="shared" si="42"/>
        <v>1.5554681841696847</v>
      </c>
      <c r="H10" s="253"/>
      <c r="I10" s="255">
        <f>'nutrient content'!B44/100</f>
        <v>3.5145454545454542</v>
      </c>
      <c r="J10" s="255">
        <f>'nutrient content'!C44/100</f>
        <v>0.14236363636363639</v>
      </c>
      <c r="K10" s="256">
        <f>enviro!AD12</f>
        <v>7.8441205398506013E-3</v>
      </c>
      <c r="L10" s="256">
        <f>enviro!AE12</f>
        <v>0.14199296980671111</v>
      </c>
      <c r="M10" s="256">
        <f>enviro!AF12</f>
        <v>1.662289379590516</v>
      </c>
      <c r="N10" s="256">
        <f>enviro!AG12</f>
        <v>1.1137228065168051E-3</v>
      </c>
      <c r="O10" s="246" t="s">
        <v>1551</v>
      </c>
      <c r="U10" s="257">
        <f t="shared" si="0"/>
        <v>38.4</v>
      </c>
      <c r="V10" s="257"/>
      <c r="W10" s="257">
        <f t="shared" si="2"/>
        <v>10.926021727884118</v>
      </c>
      <c r="X10" s="258">
        <f t="shared" si="3"/>
        <v>1.5554681841696847</v>
      </c>
      <c r="Y10" s="219">
        <f t="shared" si="4"/>
        <v>8.570503145454976E-2</v>
      </c>
      <c r="Z10" s="219">
        <f t="shared" si="5"/>
        <v>1.5514182733149191</v>
      </c>
      <c r="AA10" s="219">
        <f t="shared" si="6"/>
        <v>18.16220987943699</v>
      </c>
      <c r="AB10" s="219">
        <f t="shared" si="7"/>
        <v>1.2168559582842691E-2</v>
      </c>
      <c r="AE10" s="259">
        <v>0</v>
      </c>
      <c r="AF10" s="259"/>
      <c r="AG10" s="259">
        <f t="shared" si="8"/>
        <v>0</v>
      </c>
      <c r="AH10" s="260">
        <f t="shared" si="9"/>
        <v>0</v>
      </c>
      <c r="AI10" s="247">
        <f t="shared" si="10"/>
        <v>0</v>
      </c>
      <c r="AJ10" s="247">
        <f t="shared" si="11"/>
        <v>0</v>
      </c>
      <c r="AK10" s="247">
        <f t="shared" si="12"/>
        <v>0</v>
      </c>
      <c r="AL10" s="247">
        <f t="shared" si="13"/>
        <v>0</v>
      </c>
      <c r="AO10" s="261">
        <f t="shared" si="14"/>
        <v>59.449640590547972</v>
      </c>
      <c r="AP10" s="261"/>
      <c r="AQ10" s="261">
        <v>16.915314187688249</v>
      </c>
      <c r="AR10" s="262">
        <f t="shared" si="15"/>
        <v>2.4081256379927094</v>
      </c>
      <c r="AS10" s="263">
        <f t="shared" si="16"/>
        <v>0.13268576345767169</v>
      </c>
      <c r="AT10" s="263">
        <f t="shared" si="17"/>
        <v>2.4018556967234499</v>
      </c>
      <c r="AU10" s="263">
        <f t="shared" si="18"/>
        <v>28.118147126630955</v>
      </c>
      <c r="AV10" s="263">
        <f t="shared" si="19"/>
        <v>1.8838971190225689E-2</v>
      </c>
      <c r="AY10" s="264">
        <f t="shared" si="20"/>
        <v>138.51128492404945</v>
      </c>
      <c r="AZ10" s="264"/>
      <c r="BA10" s="264">
        <v>39.410867412430008</v>
      </c>
      <c r="BB10" s="265">
        <f t="shared" si="21"/>
        <v>5.6106743970786725</v>
      </c>
      <c r="BC10" s="266">
        <f t="shared" si="43"/>
        <v>0.30914359456317092</v>
      </c>
      <c r="BD10" s="266">
        <f>BA10*L10</f>
        <v>5.5960661065494692</v>
      </c>
      <c r="BE10" s="266">
        <f t="shared" si="44"/>
        <v>65.512266340132371</v>
      </c>
      <c r="BF10" s="266">
        <f t="shared" si="23"/>
        <v>4.3892781861833242E-2</v>
      </c>
      <c r="BJ10" s="267">
        <f t="shared" si="24"/>
        <v>167.75126696461822</v>
      </c>
      <c r="BK10" s="267"/>
      <c r="BL10" s="267">
        <v>47.730572597278858</v>
      </c>
      <c r="BM10" s="268">
        <f t="shared" si="25"/>
        <v>6.7950978806671545</v>
      </c>
      <c r="BN10" s="269">
        <f t="shared" si="26"/>
        <v>0.37440436488914536</v>
      </c>
      <c r="BO10" s="269">
        <f t="shared" si="27"/>
        <v>6.7774057536624497</v>
      </c>
      <c r="BP10" s="269">
        <f t="shared" si="28"/>
        <v>79.342023910230765</v>
      </c>
      <c r="BQ10" s="269">
        <f t="shared" si="29"/>
        <v>5.3158627269695523E-2</v>
      </c>
      <c r="BU10" s="270">
        <f t="shared" si="30"/>
        <v>337.42894922739879</v>
      </c>
      <c r="BV10" s="270"/>
      <c r="BW10" s="270">
        <v>96.009271637387144</v>
      </c>
      <c r="BX10" s="271">
        <f t="shared" si="31"/>
        <v>13.668229034922572</v>
      </c>
      <c r="BY10" s="272">
        <f t="shared" si="32"/>
        <v>0.75310829966692427</v>
      </c>
      <c r="BZ10" s="272">
        <f t="shared" si="33"/>
        <v>13.632641608771838</v>
      </c>
      <c r="CA10" s="272">
        <f t="shared" si="34"/>
        <v>159.5951925850496</v>
      </c>
      <c r="CB10" s="272">
        <f t="shared" si="35"/>
        <v>0.10692771545962511</v>
      </c>
      <c r="CF10" s="273">
        <f t="shared" si="36"/>
        <v>164.15825643102809</v>
      </c>
      <c r="CG10" s="273"/>
      <c r="CH10" s="273">
        <v>46.708246785859004</v>
      </c>
      <c r="CI10" s="274">
        <f t="shared" si="37"/>
        <v>6.6495558606050196</v>
      </c>
      <c r="CJ10" s="275">
        <f t="shared" si="38"/>
        <v>0.36638511799336743</v>
      </c>
      <c r="CK10" s="275">
        <f t="shared" si="39"/>
        <v>6.6322426755888886</v>
      </c>
      <c r="CL10" s="275">
        <f t="shared" si="40"/>
        <v>77.642622571426273</v>
      </c>
      <c r="CM10" s="275">
        <f t="shared" si="41"/>
        <v>5.2020039697826433E-2</v>
      </c>
    </row>
    <row r="11" spans="1:91">
      <c r="A11" s="149" t="s">
        <v>41</v>
      </c>
      <c r="B11" s="218">
        <v>16.600000000000001</v>
      </c>
      <c r="C11" s="218">
        <v>0.8</v>
      </c>
      <c r="D11" s="218" t="s">
        <v>42</v>
      </c>
      <c r="E11" s="218" t="s">
        <v>43</v>
      </c>
      <c r="F11" s="345">
        <f t="shared" si="1"/>
        <v>4.7666905958363248</v>
      </c>
      <c r="G11" s="252">
        <f t="shared" si="42"/>
        <v>1.1511557788944722</v>
      </c>
      <c r="H11" s="346"/>
      <c r="I11" s="255">
        <f>'nutrient content'!B74/100</f>
        <v>3.4824999999999999</v>
      </c>
      <c r="J11" s="254">
        <f>'nutrient content'!C74/100</f>
        <v>0.24149999999999994</v>
      </c>
      <c r="K11" s="256">
        <f>enviro!AD14</f>
        <v>5.4444049857663252E-3</v>
      </c>
      <c r="L11" s="256">
        <f>enviro!AE14</f>
        <v>3.6540475505848449E-2</v>
      </c>
      <c r="M11" s="256">
        <f>enviro!AF14</f>
        <v>1.0084881959108698</v>
      </c>
      <c r="N11" s="256">
        <f>enviro!AG14</f>
        <v>6.2807097374408514E-4</v>
      </c>
      <c r="O11" s="246"/>
      <c r="U11" s="257">
        <f t="shared" si="0"/>
        <v>16.600000000000001</v>
      </c>
      <c r="V11" s="257"/>
      <c r="W11" s="257">
        <f t="shared" si="2"/>
        <v>4.7666905958363248</v>
      </c>
      <c r="X11" s="258">
        <f t="shared" si="3"/>
        <v>1.1511557788944722</v>
      </c>
      <c r="Y11" s="219">
        <f t="shared" si="4"/>
        <v>2.5951794045576744E-2</v>
      </c>
      <c r="Z11" s="219">
        <f t="shared" si="5"/>
        <v>0.17417714096111539</v>
      </c>
      <c r="AA11" s="219">
        <f t="shared" si="6"/>
        <v>4.807151199460284</v>
      </c>
      <c r="AB11" s="219">
        <f t="shared" si="7"/>
        <v>2.9938200040636937E-3</v>
      </c>
      <c r="AE11" s="259">
        <v>0</v>
      </c>
      <c r="AF11" s="259"/>
      <c r="AG11" s="259">
        <f t="shared" si="8"/>
        <v>0</v>
      </c>
      <c r="AH11" s="260">
        <f t="shared" si="9"/>
        <v>0</v>
      </c>
      <c r="AI11" s="247">
        <f t="shared" si="10"/>
        <v>0</v>
      </c>
      <c r="AJ11" s="247">
        <f t="shared" si="11"/>
        <v>0</v>
      </c>
      <c r="AK11" s="247">
        <f t="shared" si="12"/>
        <v>0</v>
      </c>
      <c r="AL11" s="247">
        <f t="shared" si="13"/>
        <v>0</v>
      </c>
      <c r="AO11" s="261">
        <f t="shared" si="14"/>
        <v>36.335327814547149</v>
      </c>
      <c r="AP11" s="261"/>
      <c r="AQ11" s="261">
        <v>10.433690686158549</v>
      </c>
      <c r="AR11" s="262">
        <f t="shared" si="15"/>
        <v>2.5197363007072888</v>
      </c>
      <c r="AS11" s="263">
        <f t="shared" si="16"/>
        <v>5.6805237591665274E-2</v>
      </c>
      <c r="AT11" s="263">
        <f t="shared" si="17"/>
        <v>0.38125201895317556</v>
      </c>
      <c r="AU11" s="263">
        <f t="shared" si="18"/>
        <v>10.52225389677608</v>
      </c>
      <c r="AV11" s="263">
        <f t="shared" si="19"/>
        <v>6.5530982690001913E-3</v>
      </c>
      <c r="AY11" s="264">
        <f t="shared" si="20"/>
        <v>130.56742971525301</v>
      </c>
      <c r="AZ11" s="264"/>
      <c r="BA11" s="264">
        <v>37.492442129290168</v>
      </c>
      <c r="BB11" s="265">
        <f t="shared" si="21"/>
        <v>9.0544247742235733</v>
      </c>
      <c r="BC11" s="266">
        <f t="shared" si="43"/>
        <v>0.20412403885726282</v>
      </c>
      <c r="BD11" s="266">
        <f t="shared" si="22"/>
        <v>1.369991663279768</v>
      </c>
      <c r="BE11" s="266">
        <f t="shared" si="44"/>
        <v>37.810685323260529</v>
      </c>
      <c r="BF11" s="266">
        <f t="shared" si="23"/>
        <v>2.3547914636187037E-2</v>
      </c>
      <c r="BJ11" s="267">
        <f t="shared" si="24"/>
        <v>202.08618391429982</v>
      </c>
      <c r="BK11" s="267"/>
      <c r="BL11" s="267">
        <v>58.029054964623064</v>
      </c>
      <c r="BM11" s="268">
        <f t="shared" si="25"/>
        <v>14.014016773956467</v>
      </c>
      <c r="BN11" s="269">
        <f t="shared" si="26"/>
        <v>0.31593367616870194</v>
      </c>
      <c r="BO11" s="269">
        <f t="shared" si="27"/>
        <v>2.1204092615623424</v>
      </c>
      <c r="BP11" s="269">
        <f t="shared" si="28"/>
        <v>58.521616951685417</v>
      </c>
      <c r="BQ11" s="269">
        <f t="shared" si="29"/>
        <v>3.6446365057079849E-2</v>
      </c>
      <c r="BU11" s="270">
        <f t="shared" si="30"/>
        <v>337.00152499999842</v>
      </c>
      <c r="BV11" s="270"/>
      <c r="BW11" s="270">
        <v>96.769999999999555</v>
      </c>
      <c r="BX11" s="271">
        <f t="shared" si="31"/>
        <v>23.369954999999887</v>
      </c>
      <c r="BY11" s="272">
        <f t="shared" si="32"/>
        <v>0.52685507047260483</v>
      </c>
      <c r="BZ11" s="272">
        <f t="shared" si="33"/>
        <v>3.5360218147009381</v>
      </c>
      <c r="CA11" s="272">
        <f t="shared" si="34"/>
        <v>97.591402718294418</v>
      </c>
      <c r="CB11" s="272">
        <f t="shared" si="35"/>
        <v>6.0778428129214843E-2</v>
      </c>
      <c r="CF11" s="273">
        <f t="shared" si="36"/>
        <v>233.3220041216866</v>
      </c>
      <c r="CG11" s="273"/>
      <c r="CH11" s="273">
        <v>66.99842185834504</v>
      </c>
      <c r="CI11" s="274">
        <f t="shared" si="37"/>
        <v>16.180118878790324</v>
      </c>
      <c r="CJ11" s="275">
        <f t="shared" si="38"/>
        <v>0.36476654200404929</v>
      </c>
      <c r="CK11" s="275">
        <f t="shared" si="39"/>
        <v>2.4481541928453581</v>
      </c>
      <c r="CL11" s="275">
        <f t="shared" si="40"/>
        <v>67.567117588797771</v>
      </c>
      <c r="CM11" s="275">
        <f t="shared" si="41"/>
        <v>4.2079764055887765E-2</v>
      </c>
    </row>
    <row r="12" spans="1:91">
      <c r="A12" s="149" t="s">
        <v>44</v>
      </c>
      <c r="B12" s="218">
        <v>13.8</v>
      </c>
      <c r="C12" s="218">
        <v>0.7</v>
      </c>
      <c r="D12" s="218" t="s">
        <v>45</v>
      </c>
      <c r="E12" s="218" t="s">
        <v>43</v>
      </c>
      <c r="F12" s="345">
        <f t="shared" si="1"/>
        <v>9.4174993906897395</v>
      </c>
      <c r="G12" s="252">
        <f t="shared" si="42"/>
        <v>2.0311528150134044</v>
      </c>
      <c r="H12" s="253"/>
      <c r="I12" s="255">
        <f>'nutrient content'!B238/100</f>
        <v>1.4653571428571428</v>
      </c>
      <c r="J12" s="255">
        <f>'nutrient content'!C238/100</f>
        <v>0.21567857142857139</v>
      </c>
      <c r="K12" s="256">
        <f>enviro!AD10</f>
        <v>2.2558557267331027E-3</v>
      </c>
      <c r="L12" s="256">
        <f>enviro!AE10</f>
        <v>9.6747447486424286E-5</v>
      </c>
      <c r="M12" s="256">
        <f>enviro!AF10</f>
        <v>0.48611711779782524</v>
      </c>
      <c r="N12" s="256">
        <f>enviro!AG10</f>
        <v>9.2764997773282266E-3</v>
      </c>
      <c r="O12" s="246"/>
      <c r="U12" s="257">
        <f t="shared" si="0"/>
        <v>13.8</v>
      </c>
      <c r="V12" s="257"/>
      <c r="W12" s="257">
        <f t="shared" si="2"/>
        <v>9.4174993906897395</v>
      </c>
      <c r="X12" s="258">
        <f t="shared" si="3"/>
        <v>2.0311528150134044</v>
      </c>
      <c r="Y12" s="219">
        <f t="shared" si="4"/>
        <v>2.1244519931992955E-2</v>
      </c>
      <c r="Z12" s="219">
        <f t="shared" si="5"/>
        <v>9.1111902775418833E-4</v>
      </c>
      <c r="AA12" s="219">
        <f t="shared" si="6"/>
        <v>4.5780076606648716</v>
      </c>
      <c r="AB12" s="219">
        <f t="shared" si="7"/>
        <v>8.7361431000722078E-2</v>
      </c>
      <c r="AE12" s="259">
        <v>0</v>
      </c>
      <c r="AF12" s="259"/>
      <c r="AG12" s="259">
        <f t="shared" si="8"/>
        <v>0</v>
      </c>
      <c r="AH12" s="260">
        <f t="shared" si="9"/>
        <v>0</v>
      </c>
      <c r="AI12" s="247">
        <f t="shared" si="10"/>
        <v>0</v>
      </c>
      <c r="AJ12" s="247">
        <f t="shared" si="11"/>
        <v>0</v>
      </c>
      <c r="AK12" s="247">
        <f t="shared" si="12"/>
        <v>0</v>
      </c>
      <c r="AL12" s="247">
        <f t="shared" si="13"/>
        <v>0</v>
      </c>
      <c r="AO12" s="261">
        <f t="shared" si="14"/>
        <v>22.233947298691056</v>
      </c>
      <c r="AP12" s="261"/>
      <c r="AQ12" s="261">
        <v>15.173056894061652</v>
      </c>
      <c r="AR12" s="262">
        <f t="shared" si="15"/>
        <v>3.2725032351156536</v>
      </c>
      <c r="AS12" s="263">
        <f t="shared" si="16"/>
        <v>3.4228227286516165E-2</v>
      </c>
      <c r="AT12" s="263">
        <f t="shared" si="17"/>
        <v>1.4679545250667577E-3</v>
      </c>
      <c r="AU12" s="263">
        <f t="shared" si="18"/>
        <v>7.3758826855236723</v>
      </c>
      <c r="AV12" s="263">
        <f t="shared" si="19"/>
        <v>0.14075285889915143</v>
      </c>
      <c r="AY12" s="264">
        <f t="shared" si="20"/>
        <v>41.76215527650065</v>
      </c>
      <c r="AZ12" s="264"/>
      <c r="BA12" s="264">
        <v>28.499642889154721</v>
      </c>
      <c r="BB12" s="265">
        <f t="shared" si="21"/>
        <v>6.1467622645573332</v>
      </c>
      <c r="BC12" s="266">
        <f t="shared" si="43"/>
        <v>6.4291082621348028E-2</v>
      </c>
      <c r="BD12" s="266">
        <f t="shared" si="22"/>
        <v>2.7572677038003417E-3</v>
      </c>
      <c r="BE12" s="266">
        <f t="shared" si="44"/>
        <v>13.854164259543177</v>
      </c>
      <c r="BF12" s="266">
        <f t="shared" si="23"/>
        <v>0.26437693091517772</v>
      </c>
      <c r="BJ12" s="267">
        <f t="shared" si="24"/>
        <v>75.580730172897461</v>
      </c>
      <c r="BK12" s="267"/>
      <c r="BL12" s="267">
        <v>51.578368141387493</v>
      </c>
      <c r="BM12" s="268">
        <f t="shared" si="25"/>
        <v>11.124348757351394</v>
      </c>
      <c r="BN12" s="269">
        <f t="shared" si="26"/>
        <v>0.11635335714729719</v>
      </c>
      <c r="BO12" s="269">
        <f t="shared" si="27"/>
        <v>4.9900754631943458E-3</v>
      </c>
      <c r="BP12" s="269">
        <f t="shared" si="28"/>
        <v>25.07312766160646</v>
      </c>
      <c r="BQ12" s="269">
        <f t="shared" si="29"/>
        <v>0.4784667205785344</v>
      </c>
      <c r="BU12" s="270">
        <f t="shared" si="30"/>
        <v>54.218214285714375</v>
      </c>
      <c r="BV12" s="270"/>
      <c r="BW12" s="270">
        <v>37.000000000000064</v>
      </c>
      <c r="BX12" s="271">
        <f t="shared" si="31"/>
        <v>7.9801071428571548</v>
      </c>
      <c r="BY12" s="272">
        <f t="shared" si="32"/>
        <v>8.3466661889124938E-2</v>
      </c>
      <c r="BZ12" s="272">
        <f t="shared" si="33"/>
        <v>3.5796555569977046E-3</v>
      </c>
      <c r="CA12" s="272">
        <f t="shared" si="34"/>
        <v>17.986333358519566</v>
      </c>
      <c r="CB12" s="272">
        <f t="shared" si="35"/>
        <v>0.34323049176114495</v>
      </c>
      <c r="CF12" s="273">
        <f t="shared" si="36"/>
        <v>90.812232780118563</v>
      </c>
      <c r="CG12" s="273"/>
      <c r="CH12" s="273">
        <v>61.972764266227635</v>
      </c>
      <c r="CI12" s="274">
        <f t="shared" si="37"/>
        <v>13.366197264419593</v>
      </c>
      <c r="CJ12" s="275">
        <f t="shared" si="38"/>
        <v>0.13980161517145021</v>
      </c>
      <c r="CK12" s="275">
        <f t="shared" si="39"/>
        <v>5.9957067564354099E-3</v>
      </c>
      <c r="CL12" s="275">
        <f t="shared" si="40"/>
        <v>30.126021547062635</v>
      </c>
      <c r="CM12" s="275">
        <f t="shared" si="41"/>
        <v>0.57489033391607536</v>
      </c>
    </row>
    <row r="13" spans="1:91">
      <c r="A13" s="149" t="s">
        <v>47</v>
      </c>
      <c r="B13" s="218">
        <v>17.3</v>
      </c>
      <c r="C13" s="218">
        <v>0.9</v>
      </c>
      <c r="D13" s="218" t="s">
        <v>48</v>
      </c>
      <c r="E13" s="218" t="s">
        <v>49</v>
      </c>
      <c r="F13" s="345">
        <f t="shared" si="1"/>
        <v>32.670180061484409</v>
      </c>
      <c r="G13" s="252">
        <f t="shared" si="42"/>
        <v>0.77268774703557308</v>
      </c>
      <c r="H13" s="346"/>
      <c r="I13" s="255">
        <f>'nutrient content'!B125/100</f>
        <v>0.52953488372093027</v>
      </c>
      <c r="J13" s="255">
        <f>'nutrient content'!C125/100</f>
        <v>2.3651162790697674E-2</v>
      </c>
      <c r="K13" s="256">
        <f>enviro!AD22</f>
        <v>1.2712094776305219E-3</v>
      </c>
      <c r="L13" s="256">
        <f>enviro!AE22</f>
        <v>2.2446556063453339E-2</v>
      </c>
      <c r="M13" s="256">
        <f>enviro!AF22</f>
        <v>1.4468795669226735</v>
      </c>
      <c r="N13" s="256">
        <f>enviro!AG22</f>
        <v>6.9335677941490697E-4</v>
      </c>
      <c r="O13" s="246"/>
      <c r="U13" s="257">
        <f t="shared" si="0"/>
        <v>17.3</v>
      </c>
      <c r="V13" s="257"/>
      <c r="W13" s="257">
        <f t="shared" si="2"/>
        <v>32.670180061484409</v>
      </c>
      <c r="X13" s="258">
        <f t="shared" si="3"/>
        <v>0.77268774703557308</v>
      </c>
      <c r="Y13" s="219">
        <f t="shared" si="4"/>
        <v>4.1530642530054687E-2</v>
      </c>
      <c r="Z13" s="219">
        <f t="shared" si="5"/>
        <v>0.73333302835322522</v>
      </c>
      <c r="AA13" s="219">
        <f t="shared" si="6"/>
        <v>47.269815978646321</v>
      </c>
      <c r="AB13" s="219">
        <f t="shared" si="7"/>
        <v>2.2652090830335939E-2</v>
      </c>
      <c r="AE13" s="259">
        <v>0</v>
      </c>
      <c r="AF13" s="259"/>
      <c r="AG13" s="259">
        <f t="shared" si="8"/>
        <v>0</v>
      </c>
      <c r="AH13" s="260">
        <f t="shared" si="9"/>
        <v>0</v>
      </c>
      <c r="AI13" s="247">
        <f t="shared" si="10"/>
        <v>0</v>
      </c>
      <c r="AJ13" s="247">
        <f t="shared" si="11"/>
        <v>0</v>
      </c>
      <c r="AK13" s="247">
        <f t="shared" si="12"/>
        <v>0</v>
      </c>
      <c r="AL13" s="247">
        <f t="shared" si="13"/>
        <v>0</v>
      </c>
      <c r="AO13" s="261">
        <f t="shared" si="14"/>
        <v>20.716725424750564</v>
      </c>
      <c r="AP13" s="261"/>
      <c r="AQ13" s="261">
        <v>39.122494214504798</v>
      </c>
      <c r="AR13" s="262">
        <f t="shared" si="15"/>
        <v>0.92529247944538084</v>
      </c>
      <c r="AS13" s="263">
        <f t="shared" si="16"/>
        <v>4.9732885434023759E-2</v>
      </c>
      <c r="AT13" s="263">
        <f t="shared" si="17"/>
        <v>0.87816525972801085</v>
      </c>
      <c r="AU13" s="263">
        <f t="shared" si="18"/>
        <v>56.605537486017504</v>
      </c>
      <c r="AV13" s="263">
        <f t="shared" si="19"/>
        <v>2.7125846591247376E-2</v>
      </c>
      <c r="AY13" s="264">
        <f t="shared" si="20"/>
        <v>20.724405715192262</v>
      </c>
      <c r="AZ13" s="264"/>
      <c r="BA13" s="264">
        <v>39.136998056796976</v>
      </c>
      <c r="BB13" s="265">
        <f t="shared" si="21"/>
        <v>0.92563551218052376</v>
      </c>
      <c r="BC13" s="266">
        <f t="shared" si="43"/>
        <v>4.9751322855807634E-2</v>
      </c>
      <c r="BD13" s="266">
        <f t="shared" si="22"/>
        <v>0.8784908210371577</v>
      </c>
      <c r="BE13" s="266">
        <f t="shared" si="44"/>
        <v>56.626522799071921</v>
      </c>
      <c r="BF13" s="266">
        <f t="shared" si="23"/>
        <v>2.7135902928628223E-2</v>
      </c>
      <c r="BJ13" s="267">
        <f t="shared" si="24"/>
        <v>20.765143048750708</v>
      </c>
      <c r="BK13" s="267"/>
      <c r="BL13" s="267">
        <v>39.213928462726415</v>
      </c>
      <c r="BM13" s="268">
        <f t="shared" si="25"/>
        <v>0.9274550057347154</v>
      </c>
      <c r="BN13" s="269">
        <f t="shared" si="26"/>
        <v>4.9849117516943098E-2</v>
      </c>
      <c r="BO13" s="269">
        <f t="shared" si="27"/>
        <v>0.88021764370683708</v>
      </c>
      <c r="BP13" s="269">
        <f t="shared" si="28"/>
        <v>56.737831831486297</v>
      </c>
      <c r="BQ13" s="269">
        <f t="shared" si="29"/>
        <v>2.7189243147122542E-2</v>
      </c>
      <c r="BU13" s="270">
        <f t="shared" si="30"/>
        <v>23.763603935874684</v>
      </c>
      <c r="BV13" s="270"/>
      <c r="BW13" s="270">
        <v>44.876371069065058</v>
      </c>
      <c r="BX13" s="271">
        <f t="shared" si="31"/>
        <v>1.0613783576102132</v>
      </c>
      <c r="BY13" s="272">
        <f t="shared" si="32"/>
        <v>5.7047268224659657E-2</v>
      </c>
      <c r="BZ13" s="272">
        <f t="shared" si="33"/>
        <v>1.0073199791261043</v>
      </c>
      <c r="CA13" s="272">
        <f t="shared" si="34"/>
        <v>64.930704337470047</v>
      </c>
      <c r="CB13" s="272">
        <f t="shared" si="35"/>
        <v>3.1115336116275254E-2</v>
      </c>
      <c r="CF13" s="273">
        <f t="shared" si="36"/>
        <v>5.2953488372093709</v>
      </c>
      <c r="CG13" s="273"/>
      <c r="CH13" s="273">
        <v>10.000000000000128</v>
      </c>
      <c r="CI13" s="274">
        <f t="shared" si="37"/>
        <v>0.23651162790697977</v>
      </c>
      <c r="CJ13" s="275">
        <f t="shared" si="38"/>
        <v>1.2712094776305381E-2</v>
      </c>
      <c r="CK13" s="275">
        <f t="shared" si="39"/>
        <v>0.22446556063453627</v>
      </c>
      <c r="CL13" s="275">
        <f t="shared" si="40"/>
        <v>14.468795669226919</v>
      </c>
      <c r="CM13" s="275">
        <f t="shared" si="41"/>
        <v>6.9335677941491586E-3</v>
      </c>
    </row>
    <row r="14" spans="1:91">
      <c r="A14" s="150" t="s">
        <v>1028</v>
      </c>
      <c r="B14" s="218">
        <v>46</v>
      </c>
      <c r="C14" s="218">
        <v>2.2000000000000002</v>
      </c>
      <c r="D14" s="218" t="s">
        <v>50</v>
      </c>
      <c r="E14" s="218" t="s">
        <v>40</v>
      </c>
      <c r="F14" s="345">
        <f t="shared" si="1"/>
        <v>21.741411395382535</v>
      </c>
      <c r="G14" s="252">
        <f t="shared" si="42"/>
        <v>2.7590286521902785</v>
      </c>
      <c r="H14" s="253"/>
      <c r="I14" s="189">
        <f>AVERAGE(I4:I13)</f>
        <v>2.1157780037118257</v>
      </c>
      <c r="J14" s="189">
        <f>AVERAGE(J4:J13)</f>
        <v>0.12690200291119297</v>
      </c>
      <c r="K14" s="256">
        <f>AVERAGE(K4:K13)</f>
        <v>2.2839578924238463E-2</v>
      </c>
      <c r="L14" s="256">
        <f t="shared" ref="L14:N14" si="45">AVERAGE(L4:L13)</f>
        <v>7.2825954483968794E-2</v>
      </c>
      <c r="M14" s="256">
        <f t="shared" si="45"/>
        <v>2.5283103223979664</v>
      </c>
      <c r="N14" s="256">
        <f t="shared" si="45"/>
        <v>3.2927510047629214E-3</v>
      </c>
      <c r="O14" s="246" t="s">
        <v>1552</v>
      </c>
      <c r="U14" s="257">
        <f t="shared" si="0"/>
        <v>46</v>
      </c>
      <c r="V14" s="257"/>
      <c r="W14" s="257">
        <f t="shared" si="2"/>
        <v>21.741411395382535</v>
      </c>
      <c r="X14" s="258">
        <f t="shared" si="3"/>
        <v>2.7590286521902785</v>
      </c>
      <c r="Y14" s="219">
        <f t="shared" si="4"/>
        <v>0.49656468148917687</v>
      </c>
      <c r="Z14" s="219">
        <f t="shared" si="5"/>
        <v>1.583339036697369</v>
      </c>
      <c r="AA14" s="219">
        <f t="shared" si="6"/>
        <v>54.969034854446434</v>
      </c>
      <c r="AB14" s="219">
        <f t="shared" si="7"/>
        <v>7.1589054217109871E-2</v>
      </c>
      <c r="AE14" s="259">
        <v>0</v>
      </c>
      <c r="AF14" s="259"/>
      <c r="AG14" s="259">
        <f t="shared" si="8"/>
        <v>0</v>
      </c>
      <c r="AH14" s="260">
        <f t="shared" si="9"/>
        <v>0</v>
      </c>
      <c r="AI14" s="247">
        <f t="shared" si="10"/>
        <v>0</v>
      </c>
      <c r="AJ14" s="247">
        <f t="shared" si="11"/>
        <v>0</v>
      </c>
      <c r="AK14" s="247">
        <f t="shared" si="12"/>
        <v>0</v>
      </c>
      <c r="AL14" s="247">
        <f t="shared" si="13"/>
        <v>0</v>
      </c>
      <c r="AO14" s="261">
        <f t="shared" si="14"/>
        <v>58.900173255628019</v>
      </c>
      <c r="AP14" s="261"/>
      <c r="AQ14" s="261">
        <v>27.838541261085144</v>
      </c>
      <c r="AR14" s="262">
        <f t="shared" si="15"/>
        <v>3.5327666441575927</v>
      </c>
      <c r="AS14" s="263">
        <f t="shared" si="16"/>
        <v>0.63582056026822309</v>
      </c>
      <c r="AT14" s="263">
        <f t="shared" si="17"/>
        <v>2.027368338779874</v>
      </c>
      <c r="AU14" s="263">
        <f t="shared" si="18"/>
        <v>70.384471230903273</v>
      </c>
      <c r="AV14" s="263">
        <f t="shared" si="19"/>
        <v>9.1665384708572148E-2</v>
      </c>
      <c r="AY14" s="264">
        <f t="shared" si="20"/>
        <v>86.653966187675351</v>
      </c>
      <c r="AZ14" s="264"/>
      <c r="BA14" s="264">
        <v>40.956076694082995</v>
      </c>
      <c r="BB14" s="265">
        <f t="shared" si="21"/>
        <v>5.197408163863563</v>
      </c>
      <c r="BC14" s="266">
        <f t="shared" si="43"/>
        <v>0.9354195460816721</v>
      </c>
      <c r="BD14" s="266">
        <f t="shared" si="22"/>
        <v>2.9826653771652234</v>
      </c>
      <c r="BE14" s="266">
        <f t="shared" si="44"/>
        <v>103.54967147057282</v>
      </c>
      <c r="BF14" s="266">
        <f t="shared" si="23"/>
        <v>0.13485816268558906</v>
      </c>
      <c r="BJ14" s="267">
        <f t="shared" si="24"/>
        <v>108.96030107708768</v>
      </c>
      <c r="BK14" s="267"/>
      <c r="BL14" s="267">
        <v>51.498928945254477</v>
      </c>
      <c r="BM14" s="268">
        <f t="shared" si="25"/>
        <v>6.5353172309340035</v>
      </c>
      <c r="BN14" s="269">
        <f t="shared" si="26"/>
        <v>1.1762138521588883</v>
      </c>
      <c r="BO14" s="269">
        <f t="shared" si="27"/>
        <v>3.7504586553402457</v>
      </c>
      <c r="BP14" s="269">
        <f t="shared" si="28"/>
        <v>130.2052736447263</v>
      </c>
      <c r="BQ14" s="269">
        <f t="shared" si="29"/>
        <v>0.16957315002870096</v>
      </c>
      <c r="BU14" s="270">
        <f t="shared" si="30"/>
        <v>208.7450449093341</v>
      </c>
      <c r="BV14" s="270"/>
      <c r="BW14" s="270">
        <v>98.661128220031202</v>
      </c>
      <c r="BX14" s="271">
        <f t="shared" si="31"/>
        <v>12.520294780599983</v>
      </c>
      <c r="BY14" s="272">
        <f t="shared" si="32"/>
        <v>2.2533786247358134</v>
      </c>
      <c r="BZ14" s="272">
        <f t="shared" si="33"/>
        <v>7.1850908330890011</v>
      </c>
      <c r="CA14" s="272">
        <f t="shared" si="34"/>
        <v>249.44594889813419</v>
      </c>
      <c r="CB14" s="272">
        <f t="shared" si="35"/>
        <v>0.32486652907755115</v>
      </c>
      <c r="CF14" s="273">
        <f t="shared" si="36"/>
        <v>79.345209805629693</v>
      </c>
      <c r="CG14" s="273"/>
      <c r="CH14" s="273">
        <v>37.501670622546428</v>
      </c>
      <c r="CI14" s="274">
        <f t="shared" si="37"/>
        <v>4.7590371145169863</v>
      </c>
      <c r="CJ14" s="275">
        <f t="shared" si="38"/>
        <v>0.85652236597444409</v>
      </c>
      <c r="CK14" s="275">
        <f t="shared" si="39"/>
        <v>2.7310949578303556</v>
      </c>
      <c r="CL14" s="275">
        <f t="shared" si="40"/>
        <v>94.815860942152696</v>
      </c>
      <c r="CM14" s="275">
        <f t="shared" si="41"/>
        <v>0.12348366362267787</v>
      </c>
    </row>
    <row r="15" spans="1:91">
      <c r="A15" s="148" t="s">
        <v>52</v>
      </c>
      <c r="B15" s="218">
        <v>108.3</v>
      </c>
      <c r="C15" s="218">
        <v>5.2</v>
      </c>
      <c r="D15" s="218" t="s">
        <v>53</v>
      </c>
      <c r="E15" s="218" t="s">
        <v>54</v>
      </c>
      <c r="F15" s="345"/>
      <c r="G15" s="252">
        <f t="shared" si="42"/>
        <v>0</v>
      </c>
      <c r="H15" s="253"/>
      <c r="I15" s="255"/>
      <c r="J15" s="255"/>
      <c r="K15" s="245"/>
      <c r="L15" s="245"/>
      <c r="M15" s="245"/>
      <c r="N15" s="245"/>
      <c r="O15" s="246"/>
      <c r="U15" s="181"/>
      <c r="V15" s="181"/>
      <c r="W15" s="257"/>
      <c r="X15" s="258">
        <f t="shared" si="3"/>
        <v>0</v>
      </c>
      <c r="Y15" s="219">
        <f t="shared" si="4"/>
        <v>0</v>
      </c>
      <c r="Z15" s="219">
        <f t="shared" si="5"/>
        <v>0</v>
      </c>
      <c r="AA15" s="219">
        <f t="shared" si="6"/>
        <v>0</v>
      </c>
      <c r="AB15" s="219">
        <f t="shared" si="7"/>
        <v>0</v>
      </c>
      <c r="AE15" s="259">
        <v>0</v>
      </c>
      <c r="AF15" s="197"/>
      <c r="AG15" s="259"/>
      <c r="AH15" s="260">
        <f t="shared" si="9"/>
        <v>0</v>
      </c>
      <c r="AI15" s="247">
        <f t="shared" si="10"/>
        <v>0</v>
      </c>
      <c r="AJ15" s="247">
        <f t="shared" si="11"/>
        <v>0</v>
      </c>
      <c r="AK15" s="247">
        <f t="shared" si="12"/>
        <v>0</v>
      </c>
      <c r="AL15" s="247">
        <f t="shared" si="13"/>
        <v>0</v>
      </c>
      <c r="AO15" s="261">
        <f>AQ15*I15</f>
        <v>0</v>
      </c>
      <c r="AP15" s="202"/>
      <c r="AQ15" s="220"/>
      <c r="AR15" s="262"/>
      <c r="AS15" s="263"/>
      <c r="AT15" s="263"/>
      <c r="AU15" s="263"/>
      <c r="AV15" s="263"/>
      <c r="AY15" s="264">
        <f t="shared" si="20"/>
        <v>0</v>
      </c>
      <c r="AZ15" s="206"/>
      <c r="BA15" s="248"/>
      <c r="BB15" s="265">
        <f t="shared" si="21"/>
        <v>0</v>
      </c>
      <c r="BC15" s="266">
        <f t="shared" si="43"/>
        <v>0</v>
      </c>
      <c r="BD15" s="266">
        <f t="shared" si="22"/>
        <v>0</v>
      </c>
      <c r="BE15" s="266">
        <f t="shared" si="44"/>
        <v>0</v>
      </c>
      <c r="BF15" s="266">
        <f t="shared" si="23"/>
        <v>0</v>
      </c>
      <c r="BJ15" s="267">
        <f t="shared" si="24"/>
        <v>0</v>
      </c>
      <c r="BK15" s="210"/>
      <c r="BL15" s="211"/>
      <c r="BM15" s="268">
        <f t="shared" si="25"/>
        <v>0</v>
      </c>
      <c r="BN15" s="269">
        <f t="shared" si="26"/>
        <v>0</v>
      </c>
      <c r="BO15" s="269">
        <f>BL15*L15</f>
        <v>0</v>
      </c>
      <c r="BP15" s="269">
        <f t="shared" si="28"/>
        <v>0</v>
      </c>
      <c r="BQ15" s="269">
        <f t="shared" si="29"/>
        <v>0</v>
      </c>
      <c r="BU15" s="270">
        <f t="shared" si="30"/>
        <v>0</v>
      </c>
      <c r="BV15" s="192"/>
      <c r="BW15" s="193"/>
      <c r="BX15" s="271">
        <f t="shared" si="31"/>
        <v>0</v>
      </c>
      <c r="BY15" s="272">
        <f t="shared" si="32"/>
        <v>0</v>
      </c>
      <c r="BZ15" s="272">
        <f t="shared" si="33"/>
        <v>0</v>
      </c>
      <c r="CA15" s="272">
        <f t="shared" si="34"/>
        <v>0</v>
      </c>
      <c r="CB15" s="272">
        <f t="shared" si="35"/>
        <v>0</v>
      </c>
      <c r="CF15" s="273">
        <f t="shared" si="36"/>
        <v>0</v>
      </c>
      <c r="CG15" s="215"/>
      <c r="CH15" s="216"/>
      <c r="CI15" s="274">
        <f t="shared" si="37"/>
        <v>0</v>
      </c>
      <c r="CJ15" s="275">
        <f t="shared" si="38"/>
        <v>0</v>
      </c>
      <c r="CK15" s="275">
        <f t="shared" si="39"/>
        <v>0</v>
      </c>
      <c r="CL15" s="275">
        <f t="shared" si="40"/>
        <v>0</v>
      </c>
      <c r="CM15" s="275">
        <f t="shared" si="41"/>
        <v>0</v>
      </c>
    </row>
    <row r="16" spans="1:91">
      <c r="A16" s="150" t="s">
        <v>1027</v>
      </c>
      <c r="B16" s="218">
        <v>21</v>
      </c>
      <c r="C16" s="218">
        <v>1</v>
      </c>
      <c r="D16" s="218" t="s">
        <v>55</v>
      </c>
      <c r="E16" s="218" t="s">
        <v>56</v>
      </c>
      <c r="F16" s="345">
        <f t="shared" si="1"/>
        <v>5.4263565891472867</v>
      </c>
      <c r="G16" s="252">
        <f t="shared" si="42"/>
        <v>0</v>
      </c>
      <c r="H16" s="253"/>
      <c r="I16" s="255">
        <f>'nutrient content'!G43/100</f>
        <v>3.87</v>
      </c>
      <c r="J16" s="255">
        <f>'nutrient content'!H43/100</f>
        <v>0</v>
      </c>
      <c r="K16" s="277">
        <f>enviro!R248</f>
        <v>3.0104466724907065E-4</v>
      </c>
      <c r="L16" s="256">
        <f>enviro!S248</f>
        <v>1.2500000000000001E-2</v>
      </c>
      <c r="M16" s="256">
        <f>enviro!T248</f>
        <v>1.0229999999999999</v>
      </c>
      <c r="N16" s="256">
        <f>enviro!U248</f>
        <v>4.0084080366977777E-4</v>
      </c>
      <c r="O16" s="246" t="s">
        <v>1576</v>
      </c>
      <c r="U16" s="257">
        <f>B16*$U$46</f>
        <v>32.423999999999999</v>
      </c>
      <c r="V16" s="257"/>
      <c r="W16" s="257">
        <f t="shared" si="2"/>
        <v>8.3782945736434105</v>
      </c>
      <c r="X16" s="258">
        <f t="shared" si="3"/>
        <v>0</v>
      </c>
      <c r="Y16" s="219">
        <f t="shared" si="4"/>
        <v>2.5222409020371748E-3</v>
      </c>
      <c r="Z16" s="219">
        <f t="shared" si="5"/>
        <v>0.10472868217054264</v>
      </c>
      <c r="AA16" s="219">
        <f t="shared" si="6"/>
        <v>8.5709953488372079</v>
      </c>
      <c r="AB16" s="219">
        <f t="shared" si="7"/>
        <v>3.3583623302813627E-3</v>
      </c>
      <c r="AE16" s="259">
        <v>0</v>
      </c>
      <c r="AF16" s="259"/>
      <c r="AG16" s="259">
        <f t="shared" si="8"/>
        <v>0</v>
      </c>
      <c r="AH16" s="260">
        <f t="shared" si="9"/>
        <v>0</v>
      </c>
      <c r="AI16" s="247">
        <f t="shared" si="10"/>
        <v>0</v>
      </c>
      <c r="AJ16" s="247">
        <f t="shared" si="11"/>
        <v>0</v>
      </c>
      <c r="AK16" s="247">
        <f t="shared" si="12"/>
        <v>0</v>
      </c>
      <c r="AL16" s="247">
        <f t="shared" si="13"/>
        <v>0</v>
      </c>
      <c r="AO16" s="261">
        <f t="shared" ref="AO16:AO24" si="46">AQ16*I16</f>
        <v>279.26797614821407</v>
      </c>
      <c r="AP16" s="261"/>
      <c r="AQ16" s="261">
        <v>72.162267738556608</v>
      </c>
      <c r="AR16" s="262">
        <f>AQ16*J16</f>
        <v>0</v>
      </c>
      <c r="AS16" s="263">
        <f>AQ16*K16</f>
        <v>2.1724065879292119E-2</v>
      </c>
      <c r="AT16" s="263">
        <f>AQ16*L16</f>
        <v>0.90202834673195764</v>
      </c>
      <c r="AU16" s="263">
        <f>AQ16*M16</f>
        <v>73.821999896543403</v>
      </c>
      <c r="AV16" s="263">
        <f>AQ16*N16</f>
        <v>2.8925581394956709E-2</v>
      </c>
      <c r="AY16" s="264">
        <f t="shared" si="20"/>
        <v>116.06455231486436</v>
      </c>
      <c r="AZ16" s="264"/>
      <c r="BA16" s="264">
        <v>29.990840391437818</v>
      </c>
      <c r="BB16" s="265">
        <f t="shared" si="21"/>
        <v>0</v>
      </c>
      <c r="BC16" s="266">
        <f t="shared" si="43"/>
        <v>9.0285825661603862E-3</v>
      </c>
      <c r="BD16" s="266">
        <f t="shared" si="22"/>
        <v>0.37488550489297273</v>
      </c>
      <c r="BE16" s="266">
        <f t="shared" si="44"/>
        <v>30.680629720440884</v>
      </c>
      <c r="BF16" s="266">
        <f t="shared" si="23"/>
        <v>1.2021552565235967E-2</v>
      </c>
      <c r="BJ16" s="267">
        <f t="shared" si="24"/>
        <v>79.027228755236422</v>
      </c>
      <c r="BK16" s="267"/>
      <c r="BL16" s="267">
        <v>20.420472546572718</v>
      </c>
      <c r="BM16" s="268">
        <f t="shared" si="25"/>
        <v>0</v>
      </c>
      <c r="BN16" s="269">
        <f t="shared" si="26"/>
        <v>6.147474362851766E-3</v>
      </c>
      <c r="BO16" s="269">
        <f t="shared" si="27"/>
        <v>0.25525590683215899</v>
      </c>
      <c r="BP16" s="269">
        <f t="shared" si="28"/>
        <v>20.890143415143889</v>
      </c>
      <c r="BQ16" s="269">
        <f t="shared" si="29"/>
        <v>8.1853586268848411E-3</v>
      </c>
      <c r="BU16" s="270">
        <f t="shared" si="30"/>
        <v>59.714100000000144</v>
      </c>
      <c r="BV16" s="270"/>
      <c r="BW16" s="270">
        <v>15.430000000000037</v>
      </c>
      <c r="BX16" s="271">
        <f t="shared" si="31"/>
        <v>0</v>
      </c>
      <c r="BY16" s="272">
        <f t="shared" si="32"/>
        <v>4.6451192156531712E-3</v>
      </c>
      <c r="BZ16" s="272">
        <f t="shared" si="33"/>
        <v>0.19287500000000046</v>
      </c>
      <c r="CA16" s="272">
        <f t="shared" si="34"/>
        <v>15.784890000000036</v>
      </c>
      <c r="CB16" s="272">
        <f t="shared" si="35"/>
        <v>6.1849736006246861E-3</v>
      </c>
      <c r="CF16" s="273">
        <f t="shared" si="36"/>
        <v>77.169833622401583</v>
      </c>
      <c r="CG16" s="273"/>
      <c r="CH16" s="273">
        <v>19.940525483824697</v>
      </c>
      <c r="CI16" s="274">
        <f t="shared" si="37"/>
        <v>0</v>
      </c>
      <c r="CJ16" s="275">
        <f t="shared" si="38"/>
        <v>6.0029888590496195E-3</v>
      </c>
      <c r="CK16" s="275">
        <f t="shared" si="39"/>
        <v>0.24925656854780873</v>
      </c>
      <c r="CL16" s="275">
        <f t="shared" si="40"/>
        <v>20.399157569952663</v>
      </c>
      <c r="CM16" s="275">
        <f t="shared" si="41"/>
        <v>7.9929762605339752E-3</v>
      </c>
    </row>
    <row r="17" spans="1:91">
      <c r="A17" s="149" t="s">
        <v>58</v>
      </c>
      <c r="B17" s="218">
        <v>51.5</v>
      </c>
      <c r="C17" s="218">
        <v>2.4</v>
      </c>
      <c r="D17" s="218" t="s">
        <v>59</v>
      </c>
      <c r="E17" s="218" t="s">
        <v>60</v>
      </c>
      <c r="F17" s="345">
        <f t="shared" si="1"/>
        <v>5.9461193072482361</v>
      </c>
      <c r="G17" s="252">
        <f t="shared" si="42"/>
        <v>2.6427196921103274E-3</v>
      </c>
      <c r="H17" s="253"/>
      <c r="I17" s="255">
        <f>'nutrient content'!B275/100</f>
        <v>8.6611111111111114</v>
      </c>
      <c r="J17" s="255">
        <f>'nutrient content'!C275/100</f>
        <v>4.4444444444444447E-4</v>
      </c>
      <c r="K17" s="256">
        <f>enviro!AD16</f>
        <v>1.655487072173668E-2</v>
      </c>
      <c r="L17" s="256">
        <f>enviro!AE16</f>
        <v>0.51142133383528077</v>
      </c>
      <c r="M17" s="256">
        <f>enviro!AF16</f>
        <v>7.8334208027142873</v>
      </c>
      <c r="N17" s="256">
        <f>enviro!AG16</f>
        <v>2.9773812727677332E-3</v>
      </c>
      <c r="O17" s="246"/>
      <c r="U17" s="257">
        <f>B17</f>
        <v>51.5</v>
      </c>
      <c r="V17" s="257"/>
      <c r="W17" s="257">
        <f t="shared" si="2"/>
        <v>5.9461193072482361</v>
      </c>
      <c r="X17" s="258">
        <f t="shared" si="3"/>
        <v>2.6427196921103274E-3</v>
      </c>
      <c r="Y17" s="219">
        <f t="shared" si="4"/>
        <v>9.8437236427517019E-2</v>
      </c>
      <c r="Z17" s="219">
        <f t="shared" si="5"/>
        <v>3.0409722672566084</v>
      </c>
      <c r="AA17" s="219">
        <f t="shared" si="6"/>
        <v>46.578454676819398</v>
      </c>
      <c r="AB17" s="219">
        <f t="shared" si="7"/>
        <v>1.7703864271043545E-2</v>
      </c>
      <c r="AE17" s="259">
        <v>0</v>
      </c>
      <c r="AF17" s="259"/>
      <c r="AG17" s="259">
        <f t="shared" si="8"/>
        <v>0</v>
      </c>
      <c r="AH17" s="260">
        <f t="shared" si="9"/>
        <v>0</v>
      </c>
      <c r="AI17" s="247">
        <f t="shared" si="10"/>
        <v>0</v>
      </c>
      <c r="AJ17" s="247">
        <f t="shared" si="11"/>
        <v>0</v>
      </c>
      <c r="AK17" s="247">
        <f t="shared" si="12"/>
        <v>0</v>
      </c>
      <c r="AL17" s="247">
        <f t="shared" si="13"/>
        <v>0</v>
      </c>
      <c r="AO17" s="261">
        <f t="shared" si="46"/>
        <v>852.81317191674782</v>
      </c>
      <c r="AP17" s="261"/>
      <c r="AQ17" s="278">
        <v>98.464638194364724</v>
      </c>
      <c r="AR17" s="262">
        <f t="shared" ref="AR17:AR24" si="47">AQ17*J17</f>
        <v>4.3762061419717654E-2</v>
      </c>
      <c r="AS17" s="263">
        <f t="shared" ref="AS17:AS24" si="48">AQ17*K17</f>
        <v>1.6300693559702839</v>
      </c>
      <c r="AT17" s="263">
        <f t="shared" ref="AT17:AT24" si="49">AQ17*L17</f>
        <v>50.356916600970337</v>
      </c>
      <c r="AU17" s="263">
        <f t="shared" ref="AU17:AU24" si="50">AQ17*M17</f>
        <v>771.31494516347243</v>
      </c>
      <c r="AV17" s="263">
        <f t="shared" ref="AV17:AV24" si="51">AQ17*N17</f>
        <v>0.29316676978975198</v>
      </c>
      <c r="AY17" s="264">
        <f t="shared" si="20"/>
        <v>527.55203268946104</v>
      </c>
      <c r="AZ17" s="264"/>
      <c r="BA17" s="264">
        <v>60.910433536948673</v>
      </c>
      <c r="BB17" s="265">
        <f t="shared" si="21"/>
        <v>2.7071303794199413E-2</v>
      </c>
      <c r="BC17" s="266">
        <f t="shared" si="43"/>
        <v>1.0083643528091195</v>
      </c>
      <c r="BD17" s="266">
        <f t="shared" si="22"/>
        <v>31.15089516395151</v>
      </c>
      <c r="BE17" s="266">
        <f t="shared" si="44"/>
        <v>477.13705717067973</v>
      </c>
      <c r="BF17" s="266">
        <f t="shared" si="23"/>
        <v>0.18135358412907465</v>
      </c>
      <c r="BJ17" s="267">
        <f t="shared" si="24"/>
        <v>342.06687327222335</v>
      </c>
      <c r="BK17" s="267"/>
      <c r="BL17" s="267">
        <v>39.494571641436949</v>
      </c>
      <c r="BM17" s="268">
        <f t="shared" si="25"/>
        <v>1.7553142951749756E-2</v>
      </c>
      <c r="BN17" s="269">
        <f t="shared" si="26"/>
        <v>0.65382752773435626</v>
      </c>
      <c r="BO17" s="269">
        <f t="shared" si="27"/>
        <v>20.198366508116738</v>
      </c>
      <c r="BP17" s="269">
        <f t="shared" si="28"/>
        <v>309.37759909032195</v>
      </c>
      <c r="BQ17" s="269">
        <f t="shared" si="29"/>
        <v>0.11759039798119797</v>
      </c>
      <c r="BU17" s="270">
        <f t="shared" si="30"/>
        <v>188.54034236419039</v>
      </c>
      <c r="BV17" s="270"/>
      <c r="BW17" s="270">
        <v>21.768609124794271</v>
      </c>
      <c r="BX17" s="271">
        <f t="shared" si="31"/>
        <v>9.6749373887974541E-3</v>
      </c>
      <c r="BY17" s="272">
        <f t="shared" si="32"/>
        <v>0.36037650985298658</v>
      </c>
      <c r="BZ17" s="272">
        <f t="shared" si="33"/>
        <v>11.132931114341149</v>
      </c>
      <c r="CA17" s="272">
        <f t="shared" si="34"/>
        <v>170.52267556431948</v>
      </c>
      <c r="CB17" s="272">
        <f t="shared" si="35"/>
        <v>6.4813449142363255E-2</v>
      </c>
      <c r="CF17" s="273">
        <f t="shared" si="36"/>
        <v>386.47120029512826</v>
      </c>
      <c r="CG17" s="273"/>
      <c r="CH17" s="273">
        <v>44.621434286801211</v>
      </c>
      <c r="CI17" s="274">
        <f t="shared" si="37"/>
        <v>1.983174857191165E-2</v>
      </c>
      <c r="CJ17" s="275">
        <f t="shared" si="38"/>
        <v>0.73870207603646265</v>
      </c>
      <c r="CK17" s="275">
        <f t="shared" si="39"/>
        <v>22.820353440599206</v>
      </c>
      <c r="CL17" s="275">
        <f t="shared" si="40"/>
        <v>349.53847158917716</v>
      </c>
      <c r="CM17" s="275">
        <f t="shared" si="41"/>
        <v>0.13285502280955797</v>
      </c>
    </row>
    <row r="18" spans="1:91">
      <c r="A18" s="150" t="s">
        <v>1026</v>
      </c>
      <c r="B18" s="218">
        <v>34.6</v>
      </c>
      <c r="C18" s="218">
        <v>1.7</v>
      </c>
      <c r="D18" s="218" t="s">
        <v>62</v>
      </c>
      <c r="E18" s="218" t="s">
        <v>33</v>
      </c>
      <c r="F18" s="345">
        <f t="shared" si="1"/>
        <v>4.2430848889494488</v>
      </c>
      <c r="G18" s="252">
        <f t="shared" si="42"/>
        <v>4.2430848889494492E-2</v>
      </c>
      <c r="H18" s="253"/>
      <c r="I18" s="255">
        <f>'nutrient content'!B286/100</f>
        <v>8.1544444444444437</v>
      </c>
      <c r="J18" s="255">
        <f>'nutrient content'!C286/100</f>
        <v>0.01</v>
      </c>
      <c r="K18" s="256">
        <f>enviro!AD2</f>
        <v>4.1260520898609113E-2</v>
      </c>
      <c r="L18" s="256">
        <f>enviro!AE2</f>
        <v>0.33634106152364507</v>
      </c>
      <c r="M18" s="256">
        <f>enviro!AF2</f>
        <v>2.7368773970638127</v>
      </c>
      <c r="N18" s="256">
        <f>enviro!AG2</f>
        <v>6.728823572910032E-3</v>
      </c>
      <c r="O18" s="246"/>
      <c r="U18" s="257">
        <f>B18</f>
        <v>34.6</v>
      </c>
      <c r="V18" s="257"/>
      <c r="W18" s="257">
        <f t="shared" si="2"/>
        <v>4.2430848889494488</v>
      </c>
      <c r="X18" s="258">
        <f t="shared" si="3"/>
        <v>4.2430848889494492E-2</v>
      </c>
      <c r="Y18" s="219">
        <f t="shared" si="4"/>
        <v>0.17507189273507126</v>
      </c>
      <c r="Z18" s="219">
        <f t="shared" si="5"/>
        <v>1.4271236756841952</v>
      </c>
      <c r="AA18" s="219">
        <f t="shared" si="6"/>
        <v>11.612803126388764</v>
      </c>
      <c r="AB18" s="219">
        <f t="shared" si="7"/>
        <v>2.8550969622621398E-2</v>
      </c>
      <c r="AE18" s="259">
        <v>0</v>
      </c>
      <c r="AF18" s="259"/>
      <c r="AG18" s="259">
        <f t="shared" si="8"/>
        <v>0</v>
      </c>
      <c r="AH18" s="260">
        <f t="shared" si="9"/>
        <v>0</v>
      </c>
      <c r="AI18" s="247">
        <f t="shared" si="10"/>
        <v>0</v>
      </c>
      <c r="AJ18" s="247">
        <f t="shared" si="11"/>
        <v>0</v>
      </c>
      <c r="AK18" s="247">
        <f t="shared" si="12"/>
        <v>0</v>
      </c>
      <c r="AL18" s="247">
        <f t="shared" si="13"/>
        <v>0</v>
      </c>
      <c r="AO18" s="261">
        <f t="shared" si="46"/>
        <v>448.01867463651706</v>
      </c>
      <c r="AP18" s="261"/>
      <c r="AQ18" s="261">
        <v>54.941655153681076</v>
      </c>
      <c r="AR18" s="262">
        <f t="shared" si="47"/>
        <v>0.54941655153681079</v>
      </c>
      <c r="AS18" s="263">
        <f t="shared" si="48"/>
        <v>2.2669213106726329</v>
      </c>
      <c r="AT18" s="263">
        <f t="shared" si="49"/>
        <v>18.479134616255138</v>
      </c>
      <c r="AU18" s="263">
        <f t="shared" si="50"/>
        <v>150.36857414738427</v>
      </c>
      <c r="AV18" s="263">
        <f t="shared" si="51"/>
        <v>0.36969270433278317</v>
      </c>
      <c r="AY18" s="264">
        <f t="shared" si="20"/>
        <v>459.96718123376002</v>
      </c>
      <c r="AZ18" s="264"/>
      <c r="BA18" s="264">
        <v>56.40693052328438</v>
      </c>
      <c r="BB18" s="265">
        <f t="shared" si="21"/>
        <v>0.56406930523284382</v>
      </c>
      <c r="BC18" s="266">
        <f t="shared" si="43"/>
        <v>2.3273793356823673</v>
      </c>
      <c r="BD18" s="266">
        <f t="shared" si="22"/>
        <v>18.971966889491966</v>
      </c>
      <c r="BE18" s="266">
        <f t="shared" si="44"/>
        <v>154.37885318692588</v>
      </c>
      <c r="BF18" s="266">
        <f t="shared" si="23"/>
        <v>0.37955228378057432</v>
      </c>
      <c r="BJ18" s="267">
        <f t="shared" si="24"/>
        <v>305.51891492827588</v>
      </c>
      <c r="BK18" s="267"/>
      <c r="BL18" s="267">
        <v>37.466551769375705</v>
      </c>
      <c r="BM18" s="268">
        <f t="shared" si="25"/>
        <v>0.37466551769375706</v>
      </c>
      <c r="BN18" s="269">
        <f t="shared" si="26"/>
        <v>1.5458894422791465</v>
      </c>
      <c r="BO18" s="269">
        <f t="shared" si="27"/>
        <v>12.601539793742427</v>
      </c>
      <c r="BP18" s="269">
        <f t="shared" si="28"/>
        <v>102.54135868352557</v>
      </c>
      <c r="BQ18" s="269">
        <f t="shared" si="29"/>
        <v>0.25210581674142929</v>
      </c>
      <c r="BU18" s="270">
        <f t="shared" si="30"/>
        <v>167.21631808008601</v>
      </c>
      <c r="BV18" s="270"/>
      <c r="BW18" s="270">
        <v>20.506157006687207</v>
      </c>
      <c r="BX18" s="271">
        <f t="shared" si="31"/>
        <v>0.20506157006687209</v>
      </c>
      <c r="BY18" s="272">
        <f t="shared" si="32"/>
        <v>0.84609471972457717</v>
      </c>
      <c r="BZ18" s="272">
        <f t="shared" si="33"/>
        <v>6.8970626153997072</v>
      </c>
      <c r="CA18" s="272">
        <f t="shared" si="34"/>
        <v>56.122837612243949</v>
      </c>
      <c r="CB18" s="272">
        <f t="shared" si="35"/>
        <v>0.1379823126563911</v>
      </c>
      <c r="CF18" s="273">
        <f t="shared" si="36"/>
        <v>393.68098956198764</v>
      </c>
      <c r="CG18" s="273"/>
      <c r="CH18" s="273">
        <v>48.278088377951889</v>
      </c>
      <c r="CI18" s="274">
        <f t="shared" si="37"/>
        <v>0.48278088377951889</v>
      </c>
      <c r="CJ18" s="275">
        <f t="shared" si="38"/>
        <v>1.9919790744633816</v>
      </c>
      <c r="CK18" s="275">
        <f t="shared" si="39"/>
        <v>16.237903493372691</v>
      </c>
      <c r="CL18" s="275">
        <f t="shared" si="40"/>
        <v>132.13120885506567</v>
      </c>
      <c r="CM18" s="275">
        <f t="shared" si="41"/>
        <v>0.32485473913259649</v>
      </c>
    </row>
    <row r="19" spans="1:91">
      <c r="A19" s="150" t="s">
        <v>1025</v>
      </c>
      <c r="B19" s="218">
        <v>1.2</v>
      </c>
      <c r="C19" s="218">
        <v>7.0000000000000007E-2</v>
      </c>
      <c r="D19" s="218" t="s">
        <v>64</v>
      </c>
      <c r="E19" s="218" t="s">
        <v>65</v>
      </c>
      <c r="F19" s="345"/>
      <c r="G19" s="252">
        <f t="shared" si="42"/>
        <v>0</v>
      </c>
      <c r="H19" s="253"/>
      <c r="I19" s="255"/>
      <c r="J19" s="255"/>
      <c r="K19" s="256"/>
      <c r="L19" s="256"/>
      <c r="M19" s="256"/>
      <c r="N19" s="256"/>
      <c r="O19" s="246"/>
      <c r="U19" s="257">
        <f>B19</f>
        <v>1.2</v>
      </c>
      <c r="V19" s="257"/>
      <c r="W19" s="257"/>
      <c r="X19" s="258">
        <f t="shared" si="3"/>
        <v>0</v>
      </c>
      <c r="Y19" s="219">
        <f t="shared" si="4"/>
        <v>0</v>
      </c>
      <c r="Z19" s="219">
        <f t="shared" si="5"/>
        <v>0</v>
      </c>
      <c r="AA19" s="219">
        <f t="shared" si="6"/>
        <v>0</v>
      </c>
      <c r="AB19" s="219">
        <f t="shared" si="7"/>
        <v>0</v>
      </c>
      <c r="AE19" s="259">
        <v>0</v>
      </c>
      <c r="AF19" s="259"/>
      <c r="AG19" s="259"/>
      <c r="AH19" s="260">
        <f t="shared" si="9"/>
        <v>0</v>
      </c>
      <c r="AI19" s="247">
        <f t="shared" si="10"/>
        <v>0</v>
      </c>
      <c r="AJ19" s="247">
        <f t="shared" si="11"/>
        <v>0</v>
      </c>
      <c r="AK19" s="247">
        <f t="shared" si="12"/>
        <v>0</v>
      </c>
      <c r="AL19" s="247">
        <f t="shared" si="13"/>
        <v>0</v>
      </c>
      <c r="AO19" s="261">
        <f t="shared" si="46"/>
        <v>0</v>
      </c>
      <c r="AP19" s="261"/>
      <c r="AQ19" s="220"/>
      <c r="AR19" s="262">
        <f t="shared" si="47"/>
        <v>0</v>
      </c>
      <c r="AS19" s="263">
        <f t="shared" si="48"/>
        <v>0</v>
      </c>
      <c r="AT19" s="263">
        <f t="shared" si="49"/>
        <v>0</v>
      </c>
      <c r="AU19" s="263">
        <f t="shared" si="50"/>
        <v>0</v>
      </c>
      <c r="AV19" s="263">
        <f t="shared" si="51"/>
        <v>0</v>
      </c>
      <c r="AY19" s="264">
        <f t="shared" si="20"/>
        <v>0</v>
      </c>
      <c r="AZ19" s="264"/>
      <c r="BA19" s="248"/>
      <c r="BB19" s="265">
        <f t="shared" si="21"/>
        <v>0</v>
      </c>
      <c r="BC19" s="266">
        <f t="shared" si="43"/>
        <v>0</v>
      </c>
      <c r="BD19" s="266">
        <f t="shared" si="22"/>
        <v>0</v>
      </c>
      <c r="BE19" s="266">
        <f t="shared" si="44"/>
        <v>0</v>
      </c>
      <c r="BF19" s="266">
        <f t="shared" si="23"/>
        <v>0</v>
      </c>
      <c r="BJ19" s="267">
        <f t="shared" si="24"/>
        <v>0</v>
      </c>
      <c r="BK19" s="267"/>
      <c r="BL19" s="249"/>
      <c r="BM19" s="268">
        <f t="shared" si="25"/>
        <v>0</v>
      </c>
      <c r="BN19" s="269">
        <f t="shared" si="26"/>
        <v>0</v>
      </c>
      <c r="BO19" s="269">
        <f t="shared" si="27"/>
        <v>0</v>
      </c>
      <c r="BP19" s="269">
        <f t="shared" si="28"/>
        <v>0</v>
      </c>
      <c r="BQ19" s="269">
        <f t="shared" si="29"/>
        <v>0</v>
      </c>
      <c r="BU19" s="270">
        <f t="shared" si="30"/>
        <v>0</v>
      </c>
      <c r="BV19" s="270"/>
      <c r="BW19" s="250"/>
      <c r="BX19" s="271">
        <f t="shared" si="31"/>
        <v>0</v>
      </c>
      <c r="BY19" s="272">
        <f t="shared" si="32"/>
        <v>0</v>
      </c>
      <c r="BZ19" s="272">
        <f t="shared" si="33"/>
        <v>0</v>
      </c>
      <c r="CA19" s="272">
        <f t="shared" si="34"/>
        <v>0</v>
      </c>
      <c r="CB19" s="272">
        <f t="shared" si="35"/>
        <v>0</v>
      </c>
      <c r="CF19" s="273">
        <f t="shared" si="36"/>
        <v>0</v>
      </c>
      <c r="CG19" s="273"/>
      <c r="CH19" s="251"/>
      <c r="CI19" s="274">
        <f t="shared" si="37"/>
        <v>0</v>
      </c>
      <c r="CJ19" s="275">
        <f t="shared" si="38"/>
        <v>0</v>
      </c>
      <c r="CK19" s="275">
        <f t="shared" si="39"/>
        <v>0</v>
      </c>
      <c r="CL19" s="275">
        <f t="shared" si="40"/>
        <v>0</v>
      </c>
      <c r="CM19" s="275">
        <f t="shared" si="41"/>
        <v>0</v>
      </c>
    </row>
    <row r="20" spans="1:91">
      <c r="A20" s="148" t="s">
        <v>66</v>
      </c>
      <c r="B20" s="218">
        <v>197.1</v>
      </c>
      <c r="C20" s="218">
        <v>9</v>
      </c>
      <c r="D20" s="218" t="s">
        <v>68</v>
      </c>
      <c r="E20" s="218" t="s">
        <v>69</v>
      </c>
      <c r="F20" s="345"/>
      <c r="G20" s="252">
        <f t="shared" si="42"/>
        <v>0</v>
      </c>
      <c r="I20" s="255"/>
      <c r="J20" s="255"/>
      <c r="K20" s="256"/>
      <c r="L20" s="256"/>
      <c r="M20" s="256"/>
      <c r="N20" s="256"/>
      <c r="O20" s="246"/>
      <c r="U20" s="257"/>
      <c r="V20" s="257"/>
      <c r="W20" s="257"/>
      <c r="X20" s="258">
        <f t="shared" si="3"/>
        <v>0</v>
      </c>
      <c r="Y20" s="219">
        <f t="shared" si="4"/>
        <v>0</v>
      </c>
      <c r="Z20" s="219">
        <f t="shared" si="5"/>
        <v>0</v>
      </c>
      <c r="AA20" s="219">
        <f t="shared" si="6"/>
        <v>0</v>
      </c>
      <c r="AB20" s="219">
        <f t="shared" si="7"/>
        <v>0</v>
      </c>
      <c r="AE20" s="259">
        <v>0</v>
      </c>
      <c r="AF20" s="259"/>
      <c r="AG20" s="259"/>
      <c r="AH20" s="260"/>
      <c r="AI20" s="247"/>
      <c r="AJ20" s="247"/>
      <c r="AK20" s="247"/>
      <c r="AL20" s="247"/>
      <c r="AO20" s="261">
        <f t="shared" si="46"/>
        <v>0</v>
      </c>
      <c r="AP20" s="261"/>
      <c r="AQ20" s="220"/>
      <c r="AR20" s="262">
        <f t="shared" si="47"/>
        <v>0</v>
      </c>
      <c r="AS20" s="263">
        <f t="shared" si="48"/>
        <v>0</v>
      </c>
      <c r="AT20" s="263">
        <f t="shared" si="49"/>
        <v>0</v>
      </c>
      <c r="AU20" s="263">
        <f t="shared" si="50"/>
        <v>0</v>
      </c>
      <c r="AV20" s="263">
        <f t="shared" si="51"/>
        <v>0</v>
      </c>
      <c r="AY20" s="264">
        <f t="shared" si="20"/>
        <v>0</v>
      </c>
      <c r="AZ20" s="264"/>
      <c r="BA20" s="248"/>
      <c r="BB20" s="265">
        <f t="shared" si="21"/>
        <v>0</v>
      </c>
      <c r="BC20" s="266">
        <f t="shared" si="43"/>
        <v>0</v>
      </c>
      <c r="BD20" s="266">
        <f t="shared" si="22"/>
        <v>0</v>
      </c>
      <c r="BE20" s="266">
        <f t="shared" si="44"/>
        <v>0</v>
      </c>
      <c r="BF20" s="266">
        <f t="shared" si="23"/>
        <v>0</v>
      </c>
      <c r="BJ20" s="267">
        <f t="shared" si="24"/>
        <v>0</v>
      </c>
      <c r="BK20" s="267"/>
      <c r="BL20" s="249"/>
      <c r="BM20" s="268">
        <f t="shared" si="25"/>
        <v>0</v>
      </c>
      <c r="BN20" s="269">
        <f t="shared" si="26"/>
        <v>0</v>
      </c>
      <c r="BO20" s="269">
        <f t="shared" si="27"/>
        <v>0</v>
      </c>
      <c r="BP20" s="269">
        <f t="shared" si="28"/>
        <v>0</v>
      </c>
      <c r="BQ20" s="269">
        <f t="shared" si="29"/>
        <v>0</v>
      </c>
      <c r="BU20" s="270">
        <f t="shared" si="30"/>
        <v>0</v>
      </c>
      <c r="BV20" s="270"/>
      <c r="BW20" s="250"/>
      <c r="BX20" s="271">
        <f t="shared" si="31"/>
        <v>0</v>
      </c>
      <c r="BY20" s="272">
        <f t="shared" si="32"/>
        <v>0</v>
      </c>
      <c r="BZ20" s="272">
        <f t="shared" si="33"/>
        <v>0</v>
      </c>
      <c r="CA20" s="272">
        <f t="shared" si="34"/>
        <v>0</v>
      </c>
      <c r="CB20" s="272">
        <f t="shared" si="35"/>
        <v>0</v>
      </c>
      <c r="CF20" s="273">
        <f t="shared" si="36"/>
        <v>0</v>
      </c>
      <c r="CG20" s="273"/>
      <c r="CH20" s="251"/>
      <c r="CI20" s="274">
        <f t="shared" si="37"/>
        <v>0</v>
      </c>
      <c r="CJ20" s="275">
        <f t="shared" si="38"/>
        <v>0</v>
      </c>
      <c r="CK20" s="275">
        <f t="shared" si="39"/>
        <v>0</v>
      </c>
      <c r="CL20" s="275">
        <f t="shared" si="40"/>
        <v>0</v>
      </c>
      <c r="CM20" s="275">
        <f t="shared" si="41"/>
        <v>0</v>
      </c>
    </row>
    <row r="21" spans="1:91">
      <c r="A21" s="149" t="s">
        <v>70</v>
      </c>
      <c r="B21" s="218">
        <v>71.400000000000006</v>
      </c>
      <c r="C21" s="218">
        <v>3.3</v>
      </c>
      <c r="D21" s="218" t="s">
        <v>71</v>
      </c>
      <c r="E21" s="218" t="s">
        <v>28</v>
      </c>
      <c r="F21" s="345">
        <f t="shared" si="1"/>
        <v>41.331403762662809</v>
      </c>
      <c r="G21" s="252">
        <f t="shared" si="42"/>
        <v>9.0722431259044871</v>
      </c>
      <c r="H21" s="253"/>
      <c r="I21" s="255">
        <f>'nutrient content'!L211/100</f>
        <v>1.7275</v>
      </c>
      <c r="J21" s="255">
        <f>'nutrient content'!M211/100</f>
        <v>0.21950000000000003</v>
      </c>
      <c r="K21" s="256">
        <f>AVERAGE(enviro!R34:'enviro'!R37)</f>
        <v>2.2928134598454851E-2</v>
      </c>
      <c r="L21" s="256">
        <f>AVERAGE(enviro!S34:'enviro'!S37)</f>
        <v>6.7412830439524757E-2</v>
      </c>
      <c r="M21" s="256">
        <f>AVERAGE(enviro!T34:'enviro'!T37)</f>
        <v>11.415937499999998</v>
      </c>
      <c r="N21" s="256">
        <f>AVERAGE(enviro!U34:'enviro'!U37)</f>
        <v>4.2290178471726288E-3</v>
      </c>
      <c r="O21" s="246" t="s">
        <v>1668</v>
      </c>
      <c r="U21" s="257">
        <f>B21</f>
        <v>71.400000000000006</v>
      </c>
      <c r="V21" s="257"/>
      <c r="W21" s="257">
        <f t="shared" si="2"/>
        <v>41.331403762662809</v>
      </c>
      <c r="X21" s="258">
        <f t="shared" si="3"/>
        <v>9.0722431259044871</v>
      </c>
      <c r="Y21" s="219">
        <f t="shared" si="4"/>
        <v>0.94765198861341615</v>
      </c>
      <c r="Z21" s="219">
        <f t="shared" si="5"/>
        <v>2.7862669136799236</v>
      </c>
      <c r="AA21" s="219">
        <f t="shared" si="6"/>
        <v>471.83672214182337</v>
      </c>
      <c r="AB21" s="219">
        <f t="shared" si="7"/>
        <v>0.17479124416099895</v>
      </c>
      <c r="AE21" s="259">
        <v>0</v>
      </c>
      <c r="AF21" s="259"/>
      <c r="AG21" s="259">
        <f t="shared" si="8"/>
        <v>0</v>
      </c>
      <c r="AH21" s="260">
        <f t="shared" si="9"/>
        <v>0</v>
      </c>
      <c r="AI21" s="247">
        <f>$AG21*K21</f>
        <v>0</v>
      </c>
      <c r="AJ21" s="247">
        <f>$AG21*L21</f>
        <v>0</v>
      </c>
      <c r="AK21" s="247">
        <f>$AG21*M21</f>
        <v>0</v>
      </c>
      <c r="AL21" s="247">
        <f>$AG21*N21</f>
        <v>0</v>
      </c>
      <c r="AO21" s="261">
        <f t="shared" si="46"/>
        <v>81.119125929160091</v>
      </c>
      <c r="AP21" s="261"/>
      <c r="AQ21" s="261">
        <v>46.95752586347907</v>
      </c>
      <c r="AR21" s="262">
        <f t="shared" si="47"/>
        <v>10.307176927033657</v>
      </c>
      <c r="AS21" s="263">
        <f t="shared" si="48"/>
        <v>1.0766484734082729</v>
      </c>
      <c r="AT21" s="263">
        <f t="shared" si="49"/>
        <v>3.1655397288943128</v>
      </c>
      <c r="AU21" s="263">
        <f t="shared" si="50"/>
        <v>536.06418041211055</v>
      </c>
      <c r="AV21" s="263">
        <f t="shared" si="51"/>
        <v>0.19858421493572329</v>
      </c>
      <c r="AY21" s="264">
        <f t="shared" si="20"/>
        <v>107.20817526456669</v>
      </c>
      <c r="AZ21" s="264"/>
      <c r="BA21" s="264">
        <v>62.059725189329484</v>
      </c>
      <c r="BB21" s="265">
        <f t="shared" si="21"/>
        <v>13.622109679057823</v>
      </c>
      <c r="BC21" s="266">
        <f t="shared" si="43"/>
        <v>1.4229137322840653</v>
      </c>
      <c r="BD21" s="266">
        <f t="shared" si="22"/>
        <v>4.1836217313117716</v>
      </c>
      <c r="BE21" s="266">
        <f t="shared" si="44"/>
        <v>708.46994402856092</v>
      </c>
      <c r="BF21" s="266">
        <f t="shared" si="23"/>
        <v>0.26245168541630315</v>
      </c>
      <c r="BJ21" s="267">
        <f t="shared" si="24"/>
        <v>145.96594168627288</v>
      </c>
      <c r="BK21" s="267"/>
      <c r="BL21" s="267">
        <v>84.495479992053774</v>
      </c>
      <c r="BM21" s="268">
        <f t="shared" si="25"/>
        <v>18.546757858255805</v>
      </c>
      <c r="BN21" s="269">
        <f t="shared" si="26"/>
        <v>1.9373237382188577</v>
      </c>
      <c r="BO21" s="269">
        <f t="shared" si="27"/>
        <v>5.6960794656105778</v>
      </c>
      <c r="BP21" s="269">
        <f t="shared" si="28"/>
        <v>964.59511862178624</v>
      </c>
      <c r="BQ21" s="269">
        <f t="shared" si="29"/>
        <v>0.35733289289181319</v>
      </c>
      <c r="BU21" s="270">
        <f t="shared" si="30"/>
        <v>63.917500000000075</v>
      </c>
      <c r="BV21" s="270"/>
      <c r="BW21" s="270">
        <v>37.000000000000043</v>
      </c>
      <c r="BX21" s="271">
        <f t="shared" si="31"/>
        <v>8.1215000000000099</v>
      </c>
      <c r="BY21" s="272">
        <f t="shared" si="32"/>
        <v>0.84834098014283044</v>
      </c>
      <c r="BZ21" s="272">
        <f t="shared" si="33"/>
        <v>2.494274726262419</v>
      </c>
      <c r="CA21" s="272">
        <f t="shared" si="34"/>
        <v>422.38968750000043</v>
      </c>
      <c r="CB21" s="272">
        <f t="shared" si="35"/>
        <v>0.15647366034538746</v>
      </c>
      <c r="CF21" s="273">
        <f t="shared" si="36"/>
        <v>164.4967613218617</v>
      </c>
      <c r="CG21" s="273"/>
      <c r="CH21" s="273">
        <v>95.222437812944534</v>
      </c>
      <c r="CI21" s="274">
        <f t="shared" si="37"/>
        <v>20.901325099941328</v>
      </c>
      <c r="CJ21" s="275">
        <f t="shared" si="38"/>
        <v>2.1832728709681892</v>
      </c>
      <c r="CK21" s="275">
        <f t="shared" si="39"/>
        <v>6.4192140543222207</v>
      </c>
      <c r="CL21" s="275">
        <f t="shared" si="40"/>
        <v>1087.0533986702114</v>
      </c>
      <c r="CM21" s="275">
        <f t="shared" si="41"/>
        <v>0.40269738896222823</v>
      </c>
    </row>
    <row r="22" spans="1:91">
      <c r="A22" s="149" t="s">
        <v>72</v>
      </c>
      <c r="B22" s="218">
        <v>18.5</v>
      </c>
      <c r="C22" s="218">
        <v>0.9</v>
      </c>
      <c r="D22" s="218" t="s">
        <v>73</v>
      </c>
      <c r="E22" s="218" t="s">
        <v>46</v>
      </c>
      <c r="F22" s="345">
        <f t="shared" si="1"/>
        <v>8.171378091872791</v>
      </c>
      <c r="G22" s="252">
        <f t="shared" si="42"/>
        <v>1.871245583038869</v>
      </c>
      <c r="H22" s="253"/>
      <c r="I22" s="255">
        <f>'nutrient content'!L189/100</f>
        <v>2.2640000000000002</v>
      </c>
      <c r="J22" s="255">
        <f>'nutrient content'!M189/100</f>
        <v>0.22899999999999998</v>
      </c>
      <c r="K22" s="256">
        <f>enviro!AD19</f>
        <v>0.33861574838345965</v>
      </c>
      <c r="L22" s="256">
        <f>enviro!AE19</f>
        <v>0.46502212660477199</v>
      </c>
      <c r="M22" s="256">
        <f>enviro!AF19</f>
        <v>10.153495439951458</v>
      </c>
      <c r="N22" s="256">
        <f>enviro!AG19</f>
        <v>1.957189571780912E-2</v>
      </c>
      <c r="O22" s="246" t="s">
        <v>1666</v>
      </c>
      <c r="U22" s="257">
        <f>B22</f>
        <v>18.5</v>
      </c>
      <c r="V22" s="257"/>
      <c r="W22" s="257">
        <f t="shared" si="2"/>
        <v>8.171378091872791</v>
      </c>
      <c r="X22" s="258">
        <f t="shared" si="3"/>
        <v>1.871245583038869</v>
      </c>
      <c r="Y22" s="219">
        <f t="shared" si="4"/>
        <v>2.7669573079037115</v>
      </c>
      <c r="Z22" s="219">
        <f t="shared" si="5"/>
        <v>3.799871617574329</v>
      </c>
      <c r="AA22" s="219">
        <f t="shared" si="6"/>
        <v>82.968050193949622</v>
      </c>
      <c r="AB22" s="219">
        <f t="shared" si="7"/>
        <v>0.15992935988492435</v>
      </c>
      <c r="AE22" s="259">
        <v>0</v>
      </c>
      <c r="AF22" s="259"/>
      <c r="AG22" s="259">
        <f t="shared" si="8"/>
        <v>0</v>
      </c>
      <c r="AH22" s="260">
        <f t="shared" si="9"/>
        <v>0</v>
      </c>
      <c r="AI22" s="247">
        <f t="shared" si="10"/>
        <v>0</v>
      </c>
      <c r="AJ22" s="247">
        <f t="shared" si="11"/>
        <v>0</v>
      </c>
      <c r="AK22" s="247">
        <f t="shared" si="12"/>
        <v>0</v>
      </c>
      <c r="AL22" s="247">
        <f t="shared" si="13"/>
        <v>0</v>
      </c>
      <c r="AO22" s="261">
        <f t="shared" si="46"/>
        <v>31.283278078386829</v>
      </c>
      <c r="AP22" s="261"/>
      <c r="AQ22" s="261">
        <v>13.817702331442945</v>
      </c>
      <c r="AR22" s="262">
        <f t="shared" si="47"/>
        <v>3.164253833900434</v>
      </c>
      <c r="AS22" s="263">
        <f t="shared" si="48"/>
        <v>4.6788916159014278</v>
      </c>
      <c r="AT22" s="263">
        <f t="shared" si="49"/>
        <v>6.4255373229593138</v>
      </c>
      <c r="AU22" s="263">
        <f t="shared" si="50"/>
        <v>140.29797761291258</v>
      </c>
      <c r="AV22" s="263">
        <f t="shared" si="51"/>
        <v>0.27043862909072924</v>
      </c>
      <c r="AY22" s="264">
        <f t="shared" si="20"/>
        <v>74.047632316126823</v>
      </c>
      <c r="AZ22" s="264"/>
      <c r="BA22" s="264">
        <v>32.7065513763811</v>
      </c>
      <c r="BB22" s="265">
        <f t="shared" si="21"/>
        <v>7.4898002651912714</v>
      </c>
      <c r="BC22" s="266">
        <f t="shared" si="43"/>
        <v>11.074953371355358</v>
      </c>
      <c r="BD22" s="266">
        <f t="shared" si="22"/>
        <v>15.209270074952972</v>
      </c>
      <c r="BE22" s="266">
        <f t="shared" si="44"/>
        <v>332.08582025662355</v>
      </c>
      <c r="BF22" s="266">
        <f t="shared" si="23"/>
        <v>0.64012921282769719</v>
      </c>
      <c r="BJ22" s="267">
        <f t="shared" si="24"/>
        <v>124.62393463127574</v>
      </c>
      <c r="BK22" s="267"/>
      <c r="BL22" s="267">
        <v>55.045907522648292</v>
      </c>
      <c r="BM22" s="268">
        <f t="shared" si="25"/>
        <v>12.605512822686459</v>
      </c>
      <c r="BN22" s="269">
        <f t="shared" si="26"/>
        <v>18.639411171228264</v>
      </c>
      <c r="BO22" s="269">
        <f t="shared" si="27"/>
        <v>25.597564977071524</v>
      </c>
      <c r="BP22" s="269">
        <f t="shared" si="28"/>
        <v>558.90837101919908</v>
      </c>
      <c r="BQ22" s="269">
        <f t="shared" si="29"/>
        <v>1.077352761725437</v>
      </c>
      <c r="BU22" s="270">
        <f t="shared" si="30"/>
        <v>83.7680000000001</v>
      </c>
      <c r="BV22" s="270"/>
      <c r="BW22" s="270">
        <v>37.000000000000043</v>
      </c>
      <c r="BX22" s="271">
        <f t="shared" si="31"/>
        <v>8.4730000000000096</v>
      </c>
      <c r="BY22" s="272">
        <f t="shared" si="32"/>
        <v>12.528782690188022</v>
      </c>
      <c r="BZ22" s="272">
        <f t="shared" si="33"/>
        <v>17.205818684376585</v>
      </c>
      <c r="CA22" s="272">
        <f t="shared" si="34"/>
        <v>375.67933127820436</v>
      </c>
      <c r="CB22" s="272">
        <f t="shared" si="35"/>
        <v>0.72416014155893826</v>
      </c>
      <c r="CF22" s="273">
        <f t="shared" si="36"/>
        <v>151.32074770993975</v>
      </c>
      <c r="CG22" s="273"/>
      <c r="CH22" s="273">
        <v>66.83778609096278</v>
      </c>
      <c r="CI22" s="274">
        <f t="shared" si="37"/>
        <v>15.305853014830475</v>
      </c>
      <c r="CJ22" s="275">
        <f t="shared" si="38"/>
        <v>22.632326957484953</v>
      </c>
      <c r="CK22" s="275">
        <f t="shared" si="39"/>
        <v>31.081049425574363</v>
      </c>
      <c r="CL22" s="275">
        <f t="shared" si="40"/>
        <v>678.63715629104161</v>
      </c>
      <c r="CM22" s="275">
        <f t="shared" si="41"/>
        <v>1.3081421793815564</v>
      </c>
    </row>
    <row r="23" spans="1:91">
      <c r="A23" s="149" t="s">
        <v>74</v>
      </c>
      <c r="B23" s="218">
        <v>11.3</v>
      </c>
      <c r="C23" s="218">
        <v>0.56000000000000005</v>
      </c>
      <c r="D23" s="218" t="s">
        <v>75</v>
      </c>
      <c r="E23" s="218" t="s">
        <v>76</v>
      </c>
      <c r="F23" s="345">
        <f t="shared" si="1"/>
        <v>21.339481774264382</v>
      </c>
      <c r="G23" s="252">
        <f t="shared" si="42"/>
        <v>0.50470355731225292</v>
      </c>
      <c r="H23" s="253"/>
      <c r="I23" s="255">
        <f>'nutrient content'!B125/100</f>
        <v>0.52953488372093027</v>
      </c>
      <c r="J23" s="255">
        <f>'nutrient content'!C125/100</f>
        <v>2.3651162790697674E-2</v>
      </c>
      <c r="K23" s="256">
        <f>enviro!AD22</f>
        <v>1.2712094776305219E-3</v>
      </c>
      <c r="L23" s="256">
        <f>enviro!AE22</f>
        <v>2.2446556063453339E-2</v>
      </c>
      <c r="M23" s="256">
        <f>enviro!AF22</f>
        <v>1.4468795669226735</v>
      </c>
      <c r="N23" s="256">
        <f>enviro!AG22</f>
        <v>6.9335677941490697E-4</v>
      </c>
      <c r="O23" s="246" t="s">
        <v>1555</v>
      </c>
      <c r="U23" s="257">
        <f>B23</f>
        <v>11.3</v>
      </c>
      <c r="V23" s="257"/>
      <c r="W23" s="257">
        <f t="shared" si="2"/>
        <v>21.339481774264382</v>
      </c>
      <c r="X23" s="258">
        <f t="shared" si="3"/>
        <v>0.50470355731225292</v>
      </c>
      <c r="Y23" s="219">
        <f t="shared" si="4"/>
        <v>2.7126951479168666E-2</v>
      </c>
      <c r="Z23" s="219">
        <f t="shared" si="5"/>
        <v>0.47899787401106619</v>
      </c>
      <c r="AA23" s="219">
        <f t="shared" si="6"/>
        <v>30.875660147901932</v>
      </c>
      <c r="AB23" s="219">
        <f t="shared" si="7"/>
        <v>1.4795874357387056E-2</v>
      </c>
      <c r="AE23" s="259">
        <v>0</v>
      </c>
      <c r="AF23" s="259"/>
      <c r="AG23" s="259">
        <f t="shared" si="8"/>
        <v>0</v>
      </c>
      <c r="AH23" s="260">
        <f t="shared" si="9"/>
        <v>0</v>
      </c>
      <c r="AI23" s="247">
        <f t="shared" si="10"/>
        <v>0</v>
      </c>
      <c r="AJ23" s="247">
        <f t="shared" si="11"/>
        <v>0</v>
      </c>
      <c r="AK23" s="247">
        <f t="shared" si="12"/>
        <v>0</v>
      </c>
      <c r="AL23" s="247">
        <f t="shared" si="13"/>
        <v>0</v>
      </c>
      <c r="AO23" s="261">
        <f t="shared" si="46"/>
        <v>14.682706781535593</v>
      </c>
      <c r="AP23" s="261"/>
      <c r="AQ23" s="261">
        <v>27.727553430216535</v>
      </c>
      <c r="AR23" s="262">
        <f t="shared" si="47"/>
        <v>0.65578887996581892</v>
      </c>
      <c r="AS23" s="263">
        <f t="shared" si="48"/>
        <v>3.5247528711997947E-2</v>
      </c>
      <c r="AT23" s="263">
        <f t="shared" si="49"/>
        <v>0.62238808257375344</v>
      </c>
      <c r="AU23" s="263">
        <f t="shared" si="50"/>
        <v>40.118430498936988</v>
      </c>
      <c r="AV23" s="263">
        <f t="shared" si="51"/>
        <v>1.9225087147429692E-2</v>
      </c>
      <c r="AY23" s="264">
        <f t="shared" si="20"/>
        <v>14.646735494493946</v>
      </c>
      <c r="AZ23" s="264"/>
      <c r="BA23" s="264">
        <v>27.659623463471217</v>
      </c>
      <c r="BB23" s="265">
        <f t="shared" si="21"/>
        <v>0.65418225726395873</v>
      </c>
      <c r="BC23" s="266">
        <f t="shared" si="43"/>
        <v>3.5161175494456173E-2</v>
      </c>
      <c r="BD23" s="266">
        <f t="shared" si="22"/>
        <v>0.62086328876681607</v>
      </c>
      <c r="BE23" s="266">
        <f t="shared" si="44"/>
        <v>40.020144018071456</v>
      </c>
      <c r="BF23" s="266">
        <f t="shared" si="23"/>
        <v>1.9177987444461399E-2</v>
      </c>
      <c r="BJ23" s="267">
        <f t="shared" si="24"/>
        <v>14.74301385400685</v>
      </c>
      <c r="BK23" s="267"/>
      <c r="BL23" s="267">
        <v>27.841440304009421</v>
      </c>
      <c r="BM23" s="268">
        <f t="shared" si="25"/>
        <v>0.6584824369576181</v>
      </c>
      <c r="BN23" s="269">
        <f t="shared" si="26"/>
        <v>3.5392302785341175E-2</v>
      </c>
      <c r="BO23" s="269">
        <f t="shared" si="27"/>
        <v>0.62494445067123683</v>
      </c>
      <c r="BP23" s="269">
        <f t="shared" si="28"/>
        <v>40.283211089568617</v>
      </c>
      <c r="BQ23" s="269">
        <f t="shared" si="29"/>
        <v>1.930405138346036E-2</v>
      </c>
      <c r="BU23" s="270">
        <f t="shared" si="30"/>
        <v>17.763973703316545</v>
      </c>
      <c r="BV23" s="270"/>
      <c r="BW23" s="270">
        <v>33.54637106906506</v>
      </c>
      <c r="BX23" s="271">
        <f t="shared" si="31"/>
        <v>0.79341068319160846</v>
      </c>
      <c r="BY23" s="272">
        <f t="shared" si="32"/>
        <v>4.2644464843105849E-2</v>
      </c>
      <c r="BZ23" s="272">
        <f t="shared" si="33"/>
        <v>0.75300049892717802</v>
      </c>
      <c r="CA23" s="272">
        <f t="shared" si="34"/>
        <v>48.537558844236159</v>
      </c>
      <c r="CB23" s="272">
        <f t="shared" si="35"/>
        <v>2.3259603805504361E-2</v>
      </c>
      <c r="CF23" s="273">
        <f t="shared" si="36"/>
        <v>5.2953488372093709</v>
      </c>
      <c r="CG23" s="273"/>
      <c r="CH23" s="273">
        <v>10.000000000000128</v>
      </c>
      <c r="CI23" s="274">
        <f t="shared" si="37"/>
        <v>0.23651162790697977</v>
      </c>
      <c r="CJ23" s="275">
        <f t="shared" si="38"/>
        <v>1.2712094776305381E-2</v>
      </c>
      <c r="CK23" s="275">
        <f t="shared" si="39"/>
        <v>0.22446556063453627</v>
      </c>
      <c r="CL23" s="275">
        <f t="shared" si="40"/>
        <v>14.468795669226919</v>
      </c>
      <c r="CM23" s="275">
        <f t="shared" si="41"/>
        <v>6.9335677941491586E-3</v>
      </c>
    </row>
    <row r="24" spans="1:91">
      <c r="A24" s="150" t="s">
        <v>1024</v>
      </c>
      <c r="B24" s="218">
        <v>95.8</v>
      </c>
      <c r="C24" s="218">
        <v>4.3</v>
      </c>
      <c r="D24" s="218" t="s">
        <v>77</v>
      </c>
      <c r="E24" s="218" t="s">
        <v>67</v>
      </c>
      <c r="F24" s="345">
        <f t="shared" si="1"/>
        <v>63.569516137743726</v>
      </c>
      <c r="G24" s="252">
        <f t="shared" si="42"/>
        <v>10.004806987492573</v>
      </c>
      <c r="H24" s="253"/>
      <c r="I24" s="254">
        <f>AVERAGE(I21:I23)</f>
        <v>1.5070116279069767</v>
      </c>
      <c r="J24" s="254">
        <f>AVERAGE(J21:J23)</f>
        <v>0.15738372093023256</v>
      </c>
      <c r="K24" s="256">
        <f>AVERAGE(K21:K23)</f>
        <v>0.12093836415318167</v>
      </c>
      <c r="L24" s="256">
        <f t="shared" ref="L24:N24" si="52">AVERAGE(L21:L23)</f>
        <v>0.18496050436925005</v>
      </c>
      <c r="M24" s="256">
        <f t="shared" si="52"/>
        <v>7.6721041689580431</v>
      </c>
      <c r="N24" s="256">
        <f t="shared" si="52"/>
        <v>8.1647567814655524E-3</v>
      </c>
      <c r="O24" s="246" t="s">
        <v>1556</v>
      </c>
      <c r="U24" s="257">
        <f>B24</f>
        <v>95.8</v>
      </c>
      <c r="V24" s="257"/>
      <c r="W24" s="257">
        <f t="shared" si="2"/>
        <v>63.569516137743726</v>
      </c>
      <c r="X24" s="258">
        <f t="shared" si="3"/>
        <v>10.004806987492573</v>
      </c>
      <c r="Y24" s="219">
        <f t="shared" si="4"/>
        <v>7.6879932917080094</v>
      </c>
      <c r="Z24" s="219">
        <f t="shared" si="5"/>
        <v>11.75784976734626</v>
      </c>
      <c r="AA24" s="219">
        <f t="shared" si="6"/>
        <v>487.71194977902923</v>
      </c>
      <c r="AB24" s="219">
        <f t="shared" si="7"/>
        <v>0.51902963798012691</v>
      </c>
      <c r="AE24" s="259">
        <v>0</v>
      </c>
      <c r="AF24" s="259"/>
      <c r="AG24" s="259">
        <f t="shared" si="8"/>
        <v>0</v>
      </c>
      <c r="AH24" s="260">
        <f t="shared" si="9"/>
        <v>0</v>
      </c>
      <c r="AI24" s="247">
        <f t="shared" si="10"/>
        <v>0</v>
      </c>
      <c r="AJ24" s="247">
        <f>$AG24*L24</f>
        <v>0</v>
      </c>
      <c r="AK24" s="247">
        <f t="shared" si="12"/>
        <v>0</v>
      </c>
      <c r="AL24" s="247">
        <f t="shared" si="13"/>
        <v>0</v>
      </c>
      <c r="AO24" s="261">
        <f t="shared" si="46"/>
        <v>104.73309019494312</v>
      </c>
      <c r="AP24" s="261"/>
      <c r="AQ24" s="261">
        <v>69.497201120075218</v>
      </c>
      <c r="AR24" s="262">
        <f t="shared" si="47"/>
        <v>10.937728106514164</v>
      </c>
      <c r="AS24" s="263">
        <f t="shared" si="48"/>
        <v>8.404877816686561</v>
      </c>
      <c r="AT24" s="263">
        <f t="shared" si="49"/>
        <v>12.854237371420322</v>
      </c>
      <c r="AU24" s="263">
        <f t="shared" si="50"/>
        <v>533.1897664442447</v>
      </c>
      <c r="AV24" s="263">
        <f t="shared" si="51"/>
        <v>0.56742774413800956</v>
      </c>
      <c r="AY24" s="264">
        <f t="shared" si="20"/>
        <v>120.92912392774222</v>
      </c>
      <c r="AZ24" s="264"/>
      <c r="BA24" s="264">
        <v>80.244320407597286</v>
      </c>
      <c r="BB24" s="265">
        <f t="shared" si="21"/>
        <v>12.629149729265457</v>
      </c>
      <c r="BC24" s="266">
        <f t="shared" si="43"/>
        <v>9.7046168426785879</v>
      </c>
      <c r="BD24" s="266">
        <f t="shared" si="22"/>
        <v>14.842029975356898</v>
      </c>
      <c r="BE24" s="266">
        <f t="shared" si="44"/>
        <v>615.64278513433214</v>
      </c>
      <c r="BF24" s="266">
        <f t="shared" si="23"/>
        <v>0.65517535922202452</v>
      </c>
      <c r="BJ24" s="267">
        <f t="shared" si="24"/>
        <v>144.58042885141296</v>
      </c>
      <c r="BK24" s="267"/>
      <c r="BL24" s="267">
        <v>95.938495877576244</v>
      </c>
      <c r="BM24" s="268">
        <f t="shared" si="25"/>
        <v>15.099157461662728</v>
      </c>
      <c r="BN24" s="269">
        <f t="shared" si="26"/>
        <v>11.602644750750834</v>
      </c>
      <c r="BO24" s="269">
        <f t="shared" si="27"/>
        <v>17.744832585943719</v>
      </c>
      <c r="BP24" s="269">
        <f t="shared" si="28"/>
        <v>736.0501341859167</v>
      </c>
      <c r="BQ24" s="269">
        <f t="shared" si="29"/>
        <v>0.78331448482004562</v>
      </c>
      <c r="BU24" s="270">
        <f t="shared" si="30"/>
        <v>234.44579895348835</v>
      </c>
      <c r="BV24" s="270"/>
      <c r="BW24" s="270">
        <v>155.57</v>
      </c>
      <c r="BX24" s="271">
        <f t="shared" si="31"/>
        <v>24.48418546511628</v>
      </c>
      <c r="BY24" s="272">
        <f t="shared" si="32"/>
        <v>18.81438131131047</v>
      </c>
      <c r="BZ24" s="272">
        <f t="shared" si="33"/>
        <v>28.774305664724228</v>
      </c>
      <c r="CA24" s="272">
        <f t="shared" si="34"/>
        <v>1193.5492455648027</v>
      </c>
      <c r="CB24" s="272">
        <f t="shared" si="35"/>
        <v>1.270191212492596</v>
      </c>
      <c r="CF24" s="273">
        <f t="shared" si="36"/>
        <v>61.021939273629641</v>
      </c>
      <c r="CG24" s="273"/>
      <c r="CH24" s="273">
        <v>40.492016215150493</v>
      </c>
      <c r="CI24" s="274">
        <f t="shared" si="37"/>
        <v>6.372784179907697</v>
      </c>
      <c r="CJ24" s="275">
        <f t="shared" si="38"/>
        <v>4.8970382023244072</v>
      </c>
      <c r="CK24" s="275">
        <f t="shared" si="39"/>
        <v>7.4894237420820859</v>
      </c>
      <c r="CL24" s="275">
        <f t="shared" si="40"/>
        <v>310.65896641377276</v>
      </c>
      <c r="CM24" s="275">
        <f t="shared" si="41"/>
        <v>0.33060746398786311</v>
      </c>
    </row>
    <row r="25" spans="1:91">
      <c r="A25" s="148" t="s">
        <v>78</v>
      </c>
      <c r="B25" s="218">
        <v>1232.8</v>
      </c>
      <c r="C25" s="218">
        <v>58.2</v>
      </c>
      <c r="D25" s="218" t="s">
        <v>79</v>
      </c>
      <c r="E25" s="218" t="s">
        <v>80</v>
      </c>
      <c r="F25" s="252"/>
      <c r="G25" s="252">
        <f t="shared" si="42"/>
        <v>0</v>
      </c>
      <c r="H25" s="253"/>
      <c r="I25" s="279"/>
      <c r="J25" s="279"/>
      <c r="K25" s="245"/>
      <c r="L25" s="245"/>
      <c r="M25" s="245"/>
      <c r="N25" s="245"/>
      <c r="O25" s="246"/>
      <c r="U25" s="257"/>
      <c r="V25" s="257"/>
      <c r="W25" s="257"/>
      <c r="X25" s="258">
        <f t="shared" si="3"/>
        <v>0</v>
      </c>
      <c r="Y25" s="219">
        <f t="shared" si="4"/>
        <v>0</v>
      </c>
      <c r="Z25" s="219">
        <f t="shared" si="5"/>
        <v>0</v>
      </c>
      <c r="AA25" s="219">
        <f t="shared" si="6"/>
        <v>0</v>
      </c>
      <c r="AB25" s="219">
        <f t="shared" si="7"/>
        <v>0</v>
      </c>
      <c r="AE25" s="259">
        <f t="shared" ref="AE25:AE43" si="53">U25</f>
        <v>0</v>
      </c>
      <c r="AF25" s="259"/>
      <c r="AG25" s="259"/>
      <c r="AH25" s="260"/>
      <c r="AI25" s="247"/>
      <c r="AJ25" s="247"/>
      <c r="AK25" s="247"/>
      <c r="AL25" s="247"/>
      <c r="AO25" s="261"/>
      <c r="AP25" s="261"/>
      <c r="AQ25" s="261"/>
      <c r="AR25" s="262"/>
      <c r="AS25" s="220">
        <f t="shared" ref="AS25:AS43" si="54">AQ25*K25</f>
        <v>0</v>
      </c>
      <c r="AT25" s="220">
        <f t="shared" ref="AT25:AT43" si="55">AQ25*L25</f>
        <v>0</v>
      </c>
      <c r="AU25" s="220">
        <f t="shared" ref="AU25:AU43" si="56">AQ25*M25</f>
        <v>0</v>
      </c>
      <c r="AV25" s="220">
        <f t="shared" ref="AV25:AV43" si="57">AQ25*N25</f>
        <v>0</v>
      </c>
      <c r="AY25" s="264">
        <f t="shared" ref="AY25:AY40" si="58">AE25*AY67</f>
        <v>0</v>
      </c>
      <c r="AZ25" s="264"/>
      <c r="BA25" s="264"/>
      <c r="BB25" s="265"/>
      <c r="BC25" s="248">
        <f t="shared" si="43"/>
        <v>0</v>
      </c>
      <c r="BD25" s="248">
        <f t="shared" si="22"/>
        <v>0</v>
      </c>
      <c r="BE25" s="248">
        <f t="shared" si="44"/>
        <v>0</v>
      </c>
      <c r="BF25" s="248">
        <f t="shared" si="23"/>
        <v>0</v>
      </c>
      <c r="BJ25" s="267">
        <f t="shared" si="24"/>
        <v>0</v>
      </c>
      <c r="BK25" s="267"/>
      <c r="BL25" s="267">
        <v>0</v>
      </c>
      <c r="BM25" s="268">
        <f t="shared" si="25"/>
        <v>0</v>
      </c>
      <c r="BN25" s="249">
        <f>BL25*K25</f>
        <v>0</v>
      </c>
      <c r="BO25" s="249">
        <f>BL25*L25</f>
        <v>0</v>
      </c>
      <c r="BP25" s="249">
        <f>BL25*M25</f>
        <v>0</v>
      </c>
      <c r="BQ25" s="249">
        <f>BL25*N25</f>
        <v>0</v>
      </c>
      <c r="BU25" s="270">
        <f t="shared" si="30"/>
        <v>0</v>
      </c>
      <c r="BV25" s="270"/>
      <c r="BW25" s="270">
        <v>0</v>
      </c>
      <c r="BX25" s="271">
        <f t="shared" ref="BX25:BX30" si="59">BW25*U25</f>
        <v>0</v>
      </c>
      <c r="BY25" s="250">
        <f>BW25*V25</f>
        <v>0</v>
      </c>
      <c r="BZ25" s="250">
        <f>BW25*W25</f>
        <v>0</v>
      </c>
      <c r="CA25" s="250">
        <f>BW25*X25</f>
        <v>0</v>
      </c>
      <c r="CB25" s="250">
        <f>BW25*Y25</f>
        <v>0</v>
      </c>
      <c r="CF25" s="273">
        <f t="shared" ref="CF25" si="60">CH25*AE25</f>
        <v>0</v>
      </c>
      <c r="CG25" s="273"/>
      <c r="CH25" s="273">
        <v>0</v>
      </c>
      <c r="CI25" s="274">
        <f t="shared" si="37"/>
        <v>0</v>
      </c>
      <c r="CJ25" s="251">
        <f>CH25*AG25</f>
        <v>0</v>
      </c>
      <c r="CK25" s="251">
        <f>CH25*AH25</f>
        <v>0</v>
      </c>
      <c r="CL25" s="251">
        <f>CH25*AI25</f>
        <v>0</v>
      </c>
      <c r="CM25" s="251">
        <f>CH25*AJ25</f>
        <v>0</v>
      </c>
    </row>
    <row r="26" spans="1:91">
      <c r="A26" s="150" t="s">
        <v>1023</v>
      </c>
      <c r="B26" s="218">
        <v>207.4</v>
      </c>
      <c r="C26" s="218">
        <v>10</v>
      </c>
      <c r="D26" s="218" t="s">
        <v>81</v>
      </c>
      <c r="E26" s="218" t="s">
        <v>82</v>
      </c>
      <c r="F26" s="252">
        <f t="shared" si="1"/>
        <v>59.011898603207456</v>
      </c>
      <c r="G26" s="252">
        <f t="shared" si="42"/>
        <v>8.4011484738748088</v>
      </c>
      <c r="H26" s="253"/>
      <c r="I26" s="279">
        <f>'nutrient content'!B44/100</f>
        <v>3.5145454545454542</v>
      </c>
      <c r="J26" s="279">
        <f>'nutrient content'!C44/100</f>
        <v>0.14236363636363639</v>
      </c>
      <c r="K26" s="256">
        <f>enviro!AD12</f>
        <v>7.8441205398506013E-3</v>
      </c>
      <c r="L26" s="256">
        <f>enviro!AE12</f>
        <v>0.14199296980671111</v>
      </c>
      <c r="M26" s="256">
        <f>enviro!AF12</f>
        <v>1.662289379590516</v>
      </c>
      <c r="N26" s="256">
        <f>enviro!AG12</f>
        <v>1.1137228065168051E-3</v>
      </c>
      <c r="O26" s="246" t="s">
        <v>1551</v>
      </c>
      <c r="U26" s="257">
        <f>B26</f>
        <v>207.4</v>
      </c>
      <c r="V26" s="257"/>
      <c r="W26" s="257">
        <f t="shared" si="2"/>
        <v>59.011898603207456</v>
      </c>
      <c r="X26" s="258">
        <f t="shared" si="3"/>
        <v>8.4011484738748088</v>
      </c>
      <c r="Y26" s="219">
        <f t="shared" si="4"/>
        <v>0.46289644592900059</v>
      </c>
      <c r="Z26" s="219">
        <f t="shared" si="5"/>
        <v>8.3792747366019338</v>
      </c>
      <c r="AA26" s="219">
        <f t="shared" si="6"/>
        <v>98.094852317584156</v>
      </c>
      <c r="AB26" s="219">
        <f t="shared" si="7"/>
        <v>6.5722897330249344E-2</v>
      </c>
      <c r="AE26" s="259">
        <f>U26</f>
        <v>207.4</v>
      </c>
      <c r="AF26" s="259"/>
      <c r="AG26" s="259">
        <f t="shared" si="8"/>
        <v>59.011898603207456</v>
      </c>
      <c r="AH26" s="260">
        <f t="shared" si="9"/>
        <v>8.4011484738748088</v>
      </c>
      <c r="AI26" s="247">
        <f t="shared" si="10"/>
        <v>0.46289644592900059</v>
      </c>
      <c r="AJ26" s="247">
        <f t="shared" si="11"/>
        <v>8.3792747366019338</v>
      </c>
      <c r="AK26" s="247">
        <f t="shared" si="12"/>
        <v>98.094852317584156</v>
      </c>
      <c r="AL26" s="247">
        <f t="shared" si="13"/>
        <v>6.5722897330249344E-2</v>
      </c>
      <c r="AO26" s="261">
        <v>0</v>
      </c>
      <c r="AP26" s="261"/>
      <c r="AQ26" s="261">
        <f t="shared" ref="AQ26:AQ43" si="61">AO26/I26</f>
        <v>0</v>
      </c>
      <c r="AR26" s="262">
        <v>0</v>
      </c>
      <c r="AS26" s="220">
        <f t="shared" si="54"/>
        <v>0</v>
      </c>
      <c r="AT26" s="220">
        <f t="shared" si="55"/>
        <v>0</v>
      </c>
      <c r="AU26" s="220">
        <f t="shared" si="56"/>
        <v>0</v>
      </c>
      <c r="AV26" s="220">
        <f t="shared" si="57"/>
        <v>0</v>
      </c>
      <c r="AY26" s="264">
        <v>0</v>
      </c>
      <c r="AZ26" s="264"/>
      <c r="BA26" s="264">
        <f t="shared" ref="BA26:BA43" si="62">AY26/I26</f>
        <v>0</v>
      </c>
      <c r="BB26" s="265">
        <v>0</v>
      </c>
      <c r="BC26" s="248">
        <f t="shared" si="43"/>
        <v>0</v>
      </c>
      <c r="BD26" s="248">
        <f t="shared" si="22"/>
        <v>0</v>
      </c>
      <c r="BE26" s="248">
        <f t="shared" si="44"/>
        <v>0</v>
      </c>
      <c r="BF26" s="248">
        <f t="shared" si="23"/>
        <v>0</v>
      </c>
      <c r="BJ26" s="267">
        <v>0</v>
      </c>
      <c r="BK26" s="267"/>
      <c r="BL26" s="267">
        <f t="shared" ref="BL26:BL43" si="63">BJ26/I26</f>
        <v>0</v>
      </c>
      <c r="BM26" s="268">
        <f t="shared" si="25"/>
        <v>0</v>
      </c>
      <c r="BN26" s="249">
        <f>BL26*K26</f>
        <v>0</v>
      </c>
      <c r="BO26" s="249">
        <f>BL26*L26</f>
        <v>0</v>
      </c>
      <c r="BP26" s="249">
        <f>BL26*M26</f>
        <v>0</v>
      </c>
      <c r="BQ26" s="249">
        <f>BL26*N26</f>
        <v>0</v>
      </c>
      <c r="BU26" s="270">
        <f t="shared" si="30"/>
        <v>0</v>
      </c>
      <c r="BV26" s="270"/>
      <c r="BW26" s="270">
        <v>0</v>
      </c>
      <c r="BX26" s="271">
        <f t="shared" si="59"/>
        <v>0</v>
      </c>
      <c r="BY26" s="250">
        <f>BW26*V26</f>
        <v>0</v>
      </c>
      <c r="BZ26" s="250">
        <f>BW26*W26</f>
        <v>0</v>
      </c>
      <c r="CA26" s="250">
        <f>BW26*X26</f>
        <v>0</v>
      </c>
      <c r="CB26" s="250">
        <f>BW26*Y26</f>
        <v>0</v>
      </c>
      <c r="CF26" s="273">
        <v>0</v>
      </c>
      <c r="CG26" s="273"/>
      <c r="CH26" s="273">
        <v>0</v>
      </c>
      <c r="CI26" s="274">
        <f t="shared" si="37"/>
        <v>0</v>
      </c>
      <c r="CJ26" s="251">
        <f>CH26*AG26</f>
        <v>0</v>
      </c>
      <c r="CK26" s="251">
        <f>CH26*AH26</f>
        <v>0</v>
      </c>
      <c r="CL26" s="251">
        <f>CH26*AI26</f>
        <v>0</v>
      </c>
      <c r="CM26" s="251">
        <f>CH26*AJ26</f>
        <v>0</v>
      </c>
    </row>
    <row r="27" spans="1:91">
      <c r="A27" s="149" t="s">
        <v>83</v>
      </c>
      <c r="B27" s="218">
        <v>128.80000000000001</v>
      </c>
      <c r="C27" s="218">
        <v>5.8</v>
      </c>
      <c r="D27" s="218" t="s">
        <v>84</v>
      </c>
      <c r="E27" s="218" t="s">
        <v>85</v>
      </c>
      <c r="F27" s="252">
        <f t="shared" si="1"/>
        <v>39.108711987609077</v>
      </c>
      <c r="G27" s="252">
        <f t="shared" si="42"/>
        <v>2.8185925255716247</v>
      </c>
      <c r="H27" s="253"/>
      <c r="I27" s="279">
        <f>AVERAGE('nutrient content'!B44,'nutrient content'!B60)/100</f>
        <v>3.2933838383838383</v>
      </c>
      <c r="J27" s="279">
        <f>AVERAGE('nutrient content'!C44,'nutrient content'!C60)/100</f>
        <v>7.2070707070707091E-2</v>
      </c>
      <c r="K27" s="256">
        <f>AVERAGE(enviro!AD12,enviro!AD20)</f>
        <v>1.8451704047271374E-2</v>
      </c>
      <c r="L27" s="256">
        <f>AVERAGE(enviro!AE12,enviro!AE20)</f>
        <v>0.11522772224837609</v>
      </c>
      <c r="M27" s="256">
        <f>AVERAGE(enviro!AF12,enviro!AF20)</f>
        <v>3.9250932875042608</v>
      </c>
      <c r="N27" s="256">
        <f>AVERAGE(enviro!AG12,enviro!AG20)</f>
        <v>1.4375839714917574E-3</v>
      </c>
      <c r="O27" s="246" t="s">
        <v>1557</v>
      </c>
      <c r="U27" s="257">
        <f>B27*$U$46</f>
        <v>198.86720000000003</v>
      </c>
      <c r="V27" s="257"/>
      <c r="W27" s="257">
        <f t="shared" si="2"/>
        <v>60.383851308868415</v>
      </c>
      <c r="X27" s="258">
        <f t="shared" si="3"/>
        <v>4.3519068594825887</v>
      </c>
      <c r="Y27" s="219">
        <f t="shared" si="4"/>
        <v>1.1141849535856803</v>
      </c>
      <c r="Z27" s="219">
        <f t="shared" si="5"/>
        <v>6.9578936469055304</v>
      </c>
      <c r="AA27" s="219">
        <f t="shared" si="6"/>
        <v>237.01224944609478</v>
      </c>
      <c r="AB27" s="219">
        <f t="shared" si="7"/>
        <v>8.6806856778570807E-2</v>
      </c>
      <c r="AE27" s="259">
        <f t="shared" si="53"/>
        <v>198.86720000000003</v>
      </c>
      <c r="AF27" s="259"/>
      <c r="AG27" s="259">
        <f t="shared" si="8"/>
        <v>60.383851308868415</v>
      </c>
      <c r="AH27" s="260">
        <f t="shared" si="9"/>
        <v>4.3519068594825887</v>
      </c>
      <c r="AI27" s="247">
        <f t="shared" si="10"/>
        <v>1.1141849535856803</v>
      </c>
      <c r="AJ27" s="247">
        <f t="shared" si="11"/>
        <v>6.9578936469055304</v>
      </c>
      <c r="AK27" s="247">
        <f t="shared" si="12"/>
        <v>237.01224944609478</v>
      </c>
      <c r="AL27" s="247">
        <f t="shared" si="13"/>
        <v>8.6806856778570807E-2</v>
      </c>
      <c r="AO27" s="261">
        <v>0</v>
      </c>
      <c r="AP27" s="261"/>
      <c r="AQ27" s="261">
        <f t="shared" si="61"/>
        <v>0</v>
      </c>
      <c r="AR27" s="262">
        <v>0</v>
      </c>
      <c r="AS27" s="220">
        <f t="shared" si="54"/>
        <v>0</v>
      </c>
      <c r="AT27" s="220">
        <f t="shared" si="55"/>
        <v>0</v>
      </c>
      <c r="AU27" s="220">
        <f t="shared" si="56"/>
        <v>0</v>
      </c>
      <c r="AV27" s="220">
        <f t="shared" si="57"/>
        <v>0</v>
      </c>
      <c r="AY27" s="264">
        <v>0</v>
      </c>
      <c r="AZ27" s="264"/>
      <c r="BA27" s="264">
        <f t="shared" si="62"/>
        <v>0</v>
      </c>
      <c r="BB27" s="265">
        <v>0</v>
      </c>
      <c r="BC27" s="248">
        <f t="shared" si="43"/>
        <v>0</v>
      </c>
      <c r="BD27" s="248">
        <f t="shared" si="22"/>
        <v>0</v>
      </c>
      <c r="BE27" s="248">
        <f t="shared" si="44"/>
        <v>0</v>
      </c>
      <c r="BF27" s="248">
        <f t="shared" si="23"/>
        <v>0</v>
      </c>
      <c r="BJ27" s="267">
        <v>0</v>
      </c>
      <c r="BK27" s="267"/>
      <c r="BL27" s="267">
        <f t="shared" si="63"/>
        <v>0</v>
      </c>
      <c r="BM27" s="268">
        <f t="shared" si="25"/>
        <v>0</v>
      </c>
      <c r="BN27" s="249">
        <f>BL27*K27</f>
        <v>0</v>
      </c>
      <c r="BO27" s="249">
        <f>BL27*L27</f>
        <v>0</v>
      </c>
      <c r="BP27" s="249">
        <f>BL27*M27</f>
        <v>0</v>
      </c>
      <c r="BQ27" s="249">
        <f>BL27*N27</f>
        <v>0</v>
      </c>
      <c r="BU27" s="270">
        <f t="shared" si="30"/>
        <v>0</v>
      </c>
      <c r="BV27" s="270"/>
      <c r="BW27" s="270">
        <v>0</v>
      </c>
      <c r="BX27" s="271">
        <f t="shared" si="59"/>
        <v>0</v>
      </c>
      <c r="BY27" s="250">
        <f>BW27*V27</f>
        <v>0</v>
      </c>
      <c r="BZ27" s="250">
        <f>BW27*W27</f>
        <v>0</v>
      </c>
      <c r="CA27" s="250">
        <f>BW27*X27</f>
        <v>0</v>
      </c>
      <c r="CB27" s="250">
        <f>BW27*Y27</f>
        <v>0</v>
      </c>
      <c r="CF27" s="273">
        <v>0</v>
      </c>
      <c r="CG27" s="273"/>
      <c r="CH27" s="273">
        <v>0</v>
      </c>
      <c r="CI27" s="274">
        <f t="shared" si="37"/>
        <v>0</v>
      </c>
      <c r="CJ27" s="251">
        <f>CH27*AG27</f>
        <v>0</v>
      </c>
      <c r="CK27" s="251">
        <f>CH27*AH27</f>
        <v>0</v>
      </c>
      <c r="CL27" s="251">
        <f>CH27*AI27</f>
        <v>0</v>
      </c>
      <c r="CM27" s="251">
        <f>CH27*AJ27</f>
        <v>0</v>
      </c>
    </row>
    <row r="28" spans="1:91">
      <c r="A28" s="149" t="s">
        <v>87</v>
      </c>
      <c r="B28" s="218">
        <v>121.9</v>
      </c>
      <c r="C28" s="218">
        <v>5.6</v>
      </c>
      <c r="D28" s="218" t="s">
        <v>88</v>
      </c>
      <c r="E28" s="218" t="s">
        <v>86</v>
      </c>
      <c r="F28" s="252">
        <f t="shared" si="1"/>
        <v>70.365682195824903</v>
      </c>
      <c r="G28" s="252">
        <f t="shared" si="42"/>
        <v>13.512239706461688</v>
      </c>
      <c r="H28" s="276"/>
      <c r="I28" s="255">
        <f>AVERAGE('nutrient content'!B238,'nutrient content'!L194)/100</f>
        <v>1.7323785714285713</v>
      </c>
      <c r="J28" s="255">
        <f>AVERAGE('nutrient content'!C238,'nutrient content'!M194)/100</f>
        <v>0.19202883116883115</v>
      </c>
      <c r="K28" s="256">
        <f>AVERAGE(enviro!AD10,enviro!AD18,enviro!AD19)</f>
        <v>0.11887541524864581</v>
      </c>
      <c r="L28" s="256">
        <f>AVERAGE(enviro!AE10,enviro!AE18,enviro!AE19)</f>
        <v>0.19783524047213594</v>
      </c>
      <c r="M28" s="256">
        <f>AVERAGE(enviro!AF10,enviro!AF18,enviro!AF19)</f>
        <v>4.7083998351473939</v>
      </c>
      <c r="N28" s="256">
        <f>AVERAGE(enviro!AG10,enviro!AG18,enviro!AG19)</f>
        <v>1.2212755059549349E-2</v>
      </c>
      <c r="O28" s="246" t="s">
        <v>1558</v>
      </c>
      <c r="U28" s="257">
        <f>B28</f>
        <v>121.9</v>
      </c>
      <c r="V28" s="257"/>
      <c r="W28" s="257">
        <f t="shared" si="2"/>
        <v>70.365682195824903</v>
      </c>
      <c r="X28" s="258">
        <f>W28*J28</f>
        <v>13.512239706461688</v>
      </c>
      <c r="Y28" s="219">
        <f t="shared" si="4"/>
        <v>8.3647496902829293</v>
      </c>
      <c r="Z28" s="219">
        <f t="shared" si="5"/>
        <v>13.920811658196914</v>
      </c>
      <c r="AA28" s="219">
        <f t="shared" si="6"/>
        <v>331.30976645085588</v>
      </c>
      <c r="AB28" s="219">
        <f t="shared" si="7"/>
        <v>0.85935884125570206</v>
      </c>
      <c r="AE28" s="259">
        <f t="shared" si="53"/>
        <v>121.9</v>
      </c>
      <c r="AF28" s="259"/>
      <c r="AG28" s="259">
        <f t="shared" si="8"/>
        <v>70.365682195824903</v>
      </c>
      <c r="AH28" s="260">
        <f t="shared" si="9"/>
        <v>13.512239706461688</v>
      </c>
      <c r="AI28" s="247">
        <f t="shared" si="10"/>
        <v>8.3647496902829293</v>
      </c>
      <c r="AJ28" s="247">
        <f t="shared" si="11"/>
        <v>13.920811658196914</v>
      </c>
      <c r="AK28" s="247">
        <f t="shared" si="12"/>
        <v>331.30976645085588</v>
      </c>
      <c r="AL28" s="247">
        <f t="shared" si="13"/>
        <v>0.85935884125570206</v>
      </c>
      <c r="AO28" s="261">
        <v>0</v>
      </c>
      <c r="AP28" s="261"/>
      <c r="AQ28" s="261">
        <f t="shared" si="61"/>
        <v>0</v>
      </c>
      <c r="AR28" s="262">
        <v>0</v>
      </c>
      <c r="AS28" s="220">
        <f t="shared" si="54"/>
        <v>0</v>
      </c>
      <c r="AT28" s="220">
        <f t="shared" si="55"/>
        <v>0</v>
      </c>
      <c r="AU28" s="220">
        <f t="shared" si="56"/>
        <v>0</v>
      </c>
      <c r="AV28" s="220">
        <f t="shared" si="57"/>
        <v>0</v>
      </c>
      <c r="AY28" s="264">
        <v>0</v>
      </c>
      <c r="AZ28" s="264"/>
      <c r="BA28" s="264">
        <f t="shared" si="62"/>
        <v>0</v>
      </c>
      <c r="BB28" s="265">
        <v>0</v>
      </c>
      <c r="BC28" s="248">
        <f t="shared" si="43"/>
        <v>0</v>
      </c>
      <c r="BD28" s="248">
        <f t="shared" si="22"/>
        <v>0</v>
      </c>
      <c r="BE28" s="248">
        <f t="shared" si="44"/>
        <v>0</v>
      </c>
      <c r="BF28" s="248">
        <f t="shared" si="23"/>
        <v>0</v>
      </c>
      <c r="BJ28" s="267">
        <v>0</v>
      </c>
      <c r="BK28" s="267"/>
      <c r="BL28" s="267">
        <f t="shared" si="63"/>
        <v>0</v>
      </c>
      <c r="BM28" s="268">
        <f t="shared" si="25"/>
        <v>0</v>
      </c>
      <c r="BN28" s="249">
        <f t="shared" ref="BN28:BN43" si="64">BL28*K28</f>
        <v>0</v>
      </c>
      <c r="BO28" s="249">
        <f t="shared" ref="BO28:BO43" si="65">BL28*L28</f>
        <v>0</v>
      </c>
      <c r="BP28" s="249">
        <f t="shared" ref="BP28:BP43" si="66">BL28*M28</f>
        <v>0</v>
      </c>
      <c r="BQ28" s="249">
        <f t="shared" ref="BQ28:BQ43" si="67">BL28*N28</f>
        <v>0</v>
      </c>
      <c r="BU28" s="270">
        <f t="shared" si="30"/>
        <v>0</v>
      </c>
      <c r="BV28" s="270"/>
      <c r="BW28" s="270">
        <v>0</v>
      </c>
      <c r="BX28" s="271">
        <f t="shared" si="59"/>
        <v>0</v>
      </c>
      <c r="BY28" s="250">
        <f t="shared" ref="BY28:BY44" si="68">BW28*V28</f>
        <v>0</v>
      </c>
      <c r="BZ28" s="250">
        <f t="shared" ref="BZ28:BZ43" si="69">BW28*W28</f>
        <v>0</v>
      </c>
      <c r="CA28" s="250">
        <f t="shared" ref="CA28:CA43" si="70">BW28*X28</f>
        <v>0</v>
      </c>
      <c r="CB28" s="250">
        <f t="shared" ref="CB28:CB43" si="71">BW28*Y28</f>
        <v>0</v>
      </c>
      <c r="CF28" s="273">
        <v>0</v>
      </c>
      <c r="CG28" s="273"/>
      <c r="CH28" s="273">
        <v>0</v>
      </c>
      <c r="CI28" s="274">
        <f t="shared" si="37"/>
        <v>0</v>
      </c>
      <c r="CJ28" s="251">
        <f t="shared" ref="CJ28:CJ43" si="72">CH28*AG28</f>
        <v>0</v>
      </c>
      <c r="CK28" s="251">
        <f t="shared" ref="CK28:CK43" si="73">CH28*AH28</f>
        <v>0</v>
      </c>
      <c r="CL28" s="251">
        <f t="shared" ref="CL28:CL43" si="74">CH28*AI28</f>
        <v>0</v>
      </c>
      <c r="CM28" s="251">
        <f t="shared" ref="CM28:CM43" si="75">CH28*AJ28</f>
        <v>0</v>
      </c>
    </row>
    <row r="29" spans="1:91">
      <c r="A29" s="149" t="s">
        <v>89</v>
      </c>
      <c r="B29" s="218">
        <v>98.6</v>
      </c>
      <c r="C29" s="218">
        <v>4.8</v>
      </c>
      <c r="D29" s="218" t="s">
        <v>90</v>
      </c>
      <c r="E29" s="218" t="s">
        <v>91</v>
      </c>
      <c r="F29" s="252">
        <f t="shared" si="1"/>
        <v>17.691900591578701</v>
      </c>
      <c r="G29" s="252">
        <f t="shared" si="42"/>
        <v>1.5143552082125042</v>
      </c>
      <c r="H29" s="276"/>
      <c r="I29" s="255">
        <f>0.6*'nutrient content'!B44/100+0.4*'nutrient content'!B275/100</f>
        <v>5.573171717171717</v>
      </c>
      <c r="J29" s="255">
        <f>0.6*'nutrient content'!C44/100+0.4*'nutrient content'!C275/100</f>
        <v>8.55959595959596E-2</v>
      </c>
      <c r="K29" s="256">
        <f>0.6*enviro!AD12+0.4*enviro!AD16</f>
        <v>1.1328420612605033E-2</v>
      </c>
      <c r="L29" s="256">
        <f>0.6*enviro!AE12+0.4*enviro!AE16</f>
        <v>0.28976431541813896</v>
      </c>
      <c r="M29" s="256">
        <f>0.6*enviro!AF12+0.4*enviro!AF16</f>
        <v>4.1307419488400248</v>
      </c>
      <c r="N29" s="256">
        <f>0.6*enviro!AG12+0.4*enviro!AG16</f>
        <v>1.8591861930171765E-3</v>
      </c>
      <c r="O29" s="246" t="s">
        <v>1575</v>
      </c>
      <c r="U29" s="257">
        <f t="shared" ref="U29:U38" si="76">B29*$U$46</f>
        <v>152.23839999999998</v>
      </c>
      <c r="V29" s="257"/>
      <c r="W29" s="257">
        <f t="shared" si="2"/>
        <v>27.316294513397516</v>
      </c>
      <c r="X29" s="258">
        <f t="shared" si="3"/>
        <v>2.3381644414801066</v>
      </c>
      <c r="Y29" s="219">
        <f t="shared" si="4"/>
        <v>0.30945047382556218</v>
      </c>
      <c r="Z29" s="219">
        <f t="shared" si="5"/>
        <v>7.9152873794348961</v>
      </c>
      <c r="AA29" s="219">
        <f t="shared" si="6"/>
        <v>112.83656363335973</v>
      </c>
      <c r="AB29" s="219">
        <f t="shared" si="7"/>
        <v>5.0786077603699513E-2</v>
      </c>
      <c r="AE29" s="259">
        <f t="shared" si="53"/>
        <v>152.23839999999998</v>
      </c>
      <c r="AF29" s="259"/>
      <c r="AG29" s="259">
        <f t="shared" si="8"/>
        <v>27.316294513397516</v>
      </c>
      <c r="AH29" s="260">
        <f t="shared" si="9"/>
        <v>2.3381644414801066</v>
      </c>
      <c r="AI29" s="247">
        <f t="shared" si="10"/>
        <v>0.30945047382556218</v>
      </c>
      <c r="AJ29" s="247">
        <f t="shared" si="11"/>
        <v>7.9152873794348961</v>
      </c>
      <c r="AK29" s="247">
        <f t="shared" si="12"/>
        <v>112.83656363335973</v>
      </c>
      <c r="AL29" s="247">
        <f t="shared" si="13"/>
        <v>5.0786077603699513E-2</v>
      </c>
      <c r="AO29" s="261">
        <v>0</v>
      </c>
      <c r="AP29" s="261"/>
      <c r="AQ29" s="261">
        <f t="shared" si="61"/>
        <v>0</v>
      </c>
      <c r="AR29" s="262">
        <v>0</v>
      </c>
      <c r="AS29" s="220">
        <f t="shared" si="54"/>
        <v>0</v>
      </c>
      <c r="AT29" s="220">
        <f t="shared" si="55"/>
        <v>0</v>
      </c>
      <c r="AU29" s="220">
        <f t="shared" si="56"/>
        <v>0</v>
      </c>
      <c r="AV29" s="220">
        <f t="shared" si="57"/>
        <v>0</v>
      </c>
      <c r="AY29" s="264">
        <v>0</v>
      </c>
      <c r="AZ29" s="264"/>
      <c r="BA29" s="264">
        <f t="shared" si="62"/>
        <v>0</v>
      </c>
      <c r="BB29" s="265">
        <v>0</v>
      </c>
      <c r="BC29" s="248">
        <f t="shared" si="43"/>
        <v>0</v>
      </c>
      <c r="BD29" s="248">
        <f t="shared" si="22"/>
        <v>0</v>
      </c>
      <c r="BE29" s="248">
        <f t="shared" si="44"/>
        <v>0</v>
      </c>
      <c r="BF29" s="248">
        <f t="shared" si="23"/>
        <v>0</v>
      </c>
      <c r="BJ29" s="267">
        <v>0</v>
      </c>
      <c r="BK29" s="267"/>
      <c r="BL29" s="267">
        <f t="shared" si="63"/>
        <v>0</v>
      </c>
      <c r="BM29" s="268">
        <f t="shared" si="25"/>
        <v>0</v>
      </c>
      <c r="BN29" s="249">
        <f t="shared" si="64"/>
        <v>0</v>
      </c>
      <c r="BO29" s="249">
        <f t="shared" si="65"/>
        <v>0</v>
      </c>
      <c r="BP29" s="249">
        <f t="shared" si="66"/>
        <v>0</v>
      </c>
      <c r="BQ29" s="249">
        <f t="shared" si="67"/>
        <v>0</v>
      </c>
      <c r="BU29" s="270">
        <f t="shared" si="30"/>
        <v>0</v>
      </c>
      <c r="BV29" s="270"/>
      <c r="BW29" s="270">
        <v>0</v>
      </c>
      <c r="BX29" s="271">
        <f t="shared" si="59"/>
        <v>0</v>
      </c>
      <c r="BY29" s="250">
        <f t="shared" si="68"/>
        <v>0</v>
      </c>
      <c r="BZ29" s="250">
        <f t="shared" si="69"/>
        <v>0</v>
      </c>
      <c r="CA29" s="250">
        <f t="shared" si="70"/>
        <v>0</v>
      </c>
      <c r="CB29" s="250">
        <f t="shared" si="71"/>
        <v>0</v>
      </c>
      <c r="CF29" s="273">
        <v>0</v>
      </c>
      <c r="CG29" s="273"/>
      <c r="CH29" s="273">
        <v>0</v>
      </c>
      <c r="CI29" s="274">
        <f t="shared" si="37"/>
        <v>0</v>
      </c>
      <c r="CJ29" s="251">
        <f t="shared" si="72"/>
        <v>0</v>
      </c>
      <c r="CK29" s="251">
        <f t="shared" si="73"/>
        <v>0</v>
      </c>
      <c r="CL29" s="251">
        <f t="shared" si="74"/>
        <v>0</v>
      </c>
      <c r="CM29" s="251">
        <f t="shared" si="75"/>
        <v>0</v>
      </c>
    </row>
    <row r="30" spans="1:91">
      <c r="A30" s="149" t="s">
        <v>92</v>
      </c>
      <c r="B30" s="218">
        <v>58.8</v>
      </c>
      <c r="C30" s="218">
        <v>2.8</v>
      </c>
      <c r="D30" s="218" t="s">
        <v>93</v>
      </c>
      <c r="E30" s="218" t="s">
        <v>51</v>
      </c>
      <c r="F30" s="252">
        <f t="shared" si="1"/>
        <v>28.150924152741688</v>
      </c>
      <c r="G30" s="252">
        <f t="shared" si="42"/>
        <v>3.2614338582182474</v>
      </c>
      <c r="H30" s="276"/>
      <c r="I30" s="255">
        <f>0.7*AVERAGE('nutrient content'!B44,'nutrient content'!L194)/100+0.3*'nutrient content'!B125/100</f>
        <v>2.0887413742071881</v>
      </c>
      <c r="J30" s="255">
        <f>0.7*AVERAGE('nutrient content'!C44,'nutrient content'!M194)/100+0.3*'nutrient content'!C125/100</f>
        <v>0.11585530338266384</v>
      </c>
      <c r="K30" s="256">
        <f>0.7*AVERAGE(enviro!AD12,enviro!AD18,enviro!AD19)+0.3*enviro!AD22</f>
        <v>8.4898081973735301E-2</v>
      </c>
      <c r="L30" s="256">
        <f>0.7*AVERAGE(enviro!AE12,enviro!AE18,enviro!AE19)+0.3*enviro!AE22</f>
        <v>0.17832775370001691</v>
      </c>
      <c r="M30" s="256">
        <f>0.7*AVERAGE(enviro!AF12,enviro!AF18,enviro!AF19)+0.3*enviro!AF22</f>
        <v>4.0043839490982718</v>
      </c>
      <c r="N30" s="256">
        <f>0.7*AVERAGE(enviro!AG12,enviro!AG18,enviro!AG19)+0.3*enviro!AG22</f>
        <v>6.8522876156530176E-3</v>
      </c>
      <c r="O30" s="246" t="s">
        <v>1577</v>
      </c>
      <c r="U30" s="257">
        <f>B30</f>
        <v>58.8</v>
      </c>
      <c r="V30" s="257"/>
      <c r="W30" s="257">
        <f t="shared" si="2"/>
        <v>28.150924152741688</v>
      </c>
      <c r="X30" s="258">
        <f t="shared" si="3"/>
        <v>3.2614338582182474</v>
      </c>
      <c r="Y30" s="219">
        <f t="shared" si="4"/>
        <v>2.3899594663558688</v>
      </c>
      <c r="Z30" s="219">
        <f t="shared" si="5"/>
        <v>5.0200910687379769</v>
      </c>
      <c r="AA30" s="219">
        <f t="shared" si="6"/>
        <v>112.72710882952168</v>
      </c>
      <c r="AB30" s="219">
        <f t="shared" si="7"/>
        <v>0.1928982289410193</v>
      </c>
      <c r="AE30" s="259">
        <f t="shared" si="53"/>
        <v>58.8</v>
      </c>
      <c r="AF30" s="259"/>
      <c r="AG30" s="259">
        <f t="shared" si="8"/>
        <v>28.150924152741688</v>
      </c>
      <c r="AH30" s="260">
        <f t="shared" si="9"/>
        <v>3.2614338582182474</v>
      </c>
      <c r="AI30" s="247">
        <f t="shared" si="10"/>
        <v>2.3899594663558688</v>
      </c>
      <c r="AJ30" s="247">
        <f t="shared" si="11"/>
        <v>5.0200910687379769</v>
      </c>
      <c r="AK30" s="247">
        <f t="shared" si="12"/>
        <v>112.72710882952168</v>
      </c>
      <c r="AL30" s="247">
        <f t="shared" si="13"/>
        <v>0.1928982289410193</v>
      </c>
      <c r="AO30" s="261">
        <v>0</v>
      </c>
      <c r="AP30" s="261"/>
      <c r="AQ30" s="261">
        <f t="shared" si="61"/>
        <v>0</v>
      </c>
      <c r="AR30" s="262">
        <v>0</v>
      </c>
      <c r="AS30" s="220">
        <f t="shared" si="54"/>
        <v>0</v>
      </c>
      <c r="AT30" s="220">
        <f t="shared" si="55"/>
        <v>0</v>
      </c>
      <c r="AU30" s="220">
        <f t="shared" si="56"/>
        <v>0</v>
      </c>
      <c r="AV30" s="220">
        <f t="shared" si="57"/>
        <v>0</v>
      </c>
      <c r="AY30" s="264">
        <v>0</v>
      </c>
      <c r="AZ30" s="264"/>
      <c r="BA30" s="264">
        <f t="shared" si="62"/>
        <v>0</v>
      </c>
      <c r="BB30" s="265">
        <v>0</v>
      </c>
      <c r="BC30" s="248">
        <f t="shared" si="43"/>
        <v>0</v>
      </c>
      <c r="BD30" s="248">
        <f t="shared" si="22"/>
        <v>0</v>
      </c>
      <c r="BE30" s="248">
        <f t="shared" si="44"/>
        <v>0</v>
      </c>
      <c r="BF30" s="248">
        <f t="shared" si="23"/>
        <v>0</v>
      </c>
      <c r="BJ30" s="267">
        <v>0</v>
      </c>
      <c r="BK30" s="267"/>
      <c r="BL30" s="267">
        <f t="shared" si="63"/>
        <v>0</v>
      </c>
      <c r="BM30" s="268">
        <f t="shared" si="25"/>
        <v>0</v>
      </c>
      <c r="BN30" s="249">
        <f t="shared" si="64"/>
        <v>0</v>
      </c>
      <c r="BO30" s="249">
        <f t="shared" si="65"/>
        <v>0</v>
      </c>
      <c r="BP30" s="249">
        <f t="shared" si="66"/>
        <v>0</v>
      </c>
      <c r="BQ30" s="249">
        <f t="shared" si="67"/>
        <v>0</v>
      </c>
      <c r="BU30" s="270">
        <v>0</v>
      </c>
      <c r="BV30" s="270"/>
      <c r="BW30" s="270">
        <v>0</v>
      </c>
      <c r="BX30" s="271">
        <f t="shared" si="59"/>
        <v>0</v>
      </c>
      <c r="BY30" s="250">
        <f t="shared" si="68"/>
        <v>0</v>
      </c>
      <c r="BZ30" s="250">
        <f t="shared" si="69"/>
        <v>0</v>
      </c>
      <c r="CA30" s="250">
        <f t="shared" si="70"/>
        <v>0</v>
      </c>
      <c r="CB30" s="250">
        <f t="shared" si="71"/>
        <v>0</v>
      </c>
      <c r="CF30" s="273">
        <v>0</v>
      </c>
      <c r="CG30" s="273"/>
      <c r="CH30" s="273">
        <v>0</v>
      </c>
      <c r="CI30" s="274">
        <f t="shared" ref="CI30" si="77">CH30*AF30</f>
        <v>0</v>
      </c>
      <c r="CJ30" s="251">
        <f t="shared" si="72"/>
        <v>0</v>
      </c>
      <c r="CK30" s="251">
        <f t="shared" si="73"/>
        <v>0</v>
      </c>
      <c r="CL30" s="251">
        <f t="shared" si="74"/>
        <v>0</v>
      </c>
      <c r="CM30" s="251">
        <f t="shared" si="75"/>
        <v>0</v>
      </c>
    </row>
    <row r="31" spans="1:91">
      <c r="A31" s="149" t="s">
        <v>94</v>
      </c>
      <c r="B31" s="218">
        <v>69</v>
      </c>
      <c r="C31" s="218">
        <v>3.1</v>
      </c>
      <c r="D31" s="218" t="s">
        <v>95</v>
      </c>
      <c r="E31" s="218" t="s">
        <v>96</v>
      </c>
      <c r="F31" s="252">
        <f t="shared" si="1"/>
        <v>176.92307692307691</v>
      </c>
      <c r="G31" s="252">
        <f t="shared" si="42"/>
        <v>0</v>
      </c>
      <c r="H31" s="276"/>
      <c r="I31" s="255">
        <f>'nutrient content'!G266/100</f>
        <v>0.39</v>
      </c>
      <c r="J31" s="255">
        <f>'nutrient content'!H266/100</f>
        <v>0</v>
      </c>
      <c r="K31" s="256">
        <f>enviro!AD6</f>
        <v>2.704474508755159E-4</v>
      </c>
      <c r="L31" s="256">
        <f>enviro!AE6</f>
        <v>1.4529733660038721E-2</v>
      </c>
      <c r="M31" s="256">
        <f>enviro!AF6</f>
        <v>3.0199180700000001E-2</v>
      </c>
      <c r="N31" s="256">
        <f>enviro!AG6</f>
        <v>7.0996199547064063E-5</v>
      </c>
      <c r="O31" s="246" t="s">
        <v>1559</v>
      </c>
      <c r="U31" s="257">
        <f t="shared" si="76"/>
        <v>106.536</v>
      </c>
      <c r="V31" s="257"/>
      <c r="W31" s="257">
        <f t="shared" si="2"/>
        <v>273.16923076923075</v>
      </c>
      <c r="X31" s="258">
        <f t="shared" si="3"/>
        <v>0</v>
      </c>
      <c r="Y31" s="219">
        <f t="shared" si="4"/>
        <v>7.3877922119163997E-2</v>
      </c>
      <c r="Z31" s="219">
        <f t="shared" si="5"/>
        <v>3.9690761671945771</v>
      </c>
      <c r="AA31" s="219">
        <f t="shared" si="6"/>
        <v>8.2494869616800006</v>
      </c>
      <c r="AB31" s="219">
        <f t="shared" si="7"/>
        <v>1.9393977217810297E-2</v>
      </c>
      <c r="AE31" s="259">
        <f t="shared" si="53"/>
        <v>106.536</v>
      </c>
      <c r="AF31" s="259"/>
      <c r="AG31" s="259">
        <f t="shared" si="8"/>
        <v>273.16923076923075</v>
      </c>
      <c r="AH31" s="260">
        <f t="shared" si="9"/>
        <v>0</v>
      </c>
      <c r="AI31" s="247">
        <f t="shared" si="10"/>
        <v>7.3877922119163997E-2</v>
      </c>
      <c r="AJ31" s="247">
        <f t="shared" si="11"/>
        <v>3.9690761671945771</v>
      </c>
      <c r="AK31" s="247">
        <f t="shared" si="12"/>
        <v>8.2494869616800006</v>
      </c>
      <c r="AL31" s="247">
        <f t="shared" si="13"/>
        <v>1.9393977217810297E-2</v>
      </c>
      <c r="AO31" s="261">
        <v>0</v>
      </c>
      <c r="AP31" s="261"/>
      <c r="AQ31" s="261">
        <f t="shared" si="61"/>
        <v>0</v>
      </c>
      <c r="AR31" s="262">
        <v>0</v>
      </c>
      <c r="AS31" s="220">
        <f t="shared" si="54"/>
        <v>0</v>
      </c>
      <c r="AT31" s="220">
        <f t="shared" si="55"/>
        <v>0</v>
      </c>
      <c r="AU31" s="220">
        <f t="shared" si="56"/>
        <v>0</v>
      </c>
      <c r="AV31" s="220">
        <f t="shared" si="57"/>
        <v>0</v>
      </c>
      <c r="AY31" s="264">
        <v>0</v>
      </c>
      <c r="AZ31" s="264"/>
      <c r="BA31" s="264">
        <f t="shared" si="62"/>
        <v>0</v>
      </c>
      <c r="BB31" s="265">
        <v>0</v>
      </c>
      <c r="BC31" s="248">
        <f t="shared" si="43"/>
        <v>0</v>
      </c>
      <c r="BD31" s="248">
        <f t="shared" si="22"/>
        <v>0</v>
      </c>
      <c r="BE31" s="248">
        <f t="shared" si="44"/>
        <v>0</v>
      </c>
      <c r="BF31" s="248">
        <f t="shared" si="23"/>
        <v>0</v>
      </c>
      <c r="BJ31" s="267">
        <v>0</v>
      </c>
      <c r="BK31" s="267"/>
      <c r="BL31" s="267">
        <f t="shared" si="63"/>
        <v>0</v>
      </c>
      <c r="BM31" s="268">
        <f>BL31*J31</f>
        <v>0</v>
      </c>
      <c r="BN31" s="249">
        <f t="shared" si="64"/>
        <v>0</v>
      </c>
      <c r="BO31" s="249">
        <f t="shared" si="65"/>
        <v>0</v>
      </c>
      <c r="BP31" s="249">
        <f t="shared" si="66"/>
        <v>0</v>
      </c>
      <c r="BQ31" s="249">
        <f t="shared" si="67"/>
        <v>0</v>
      </c>
      <c r="BU31" s="270">
        <v>0</v>
      </c>
      <c r="BV31" s="270"/>
      <c r="BW31" s="270">
        <v>0</v>
      </c>
      <c r="BX31" s="271">
        <f>BW31*U31</f>
        <v>0</v>
      </c>
      <c r="BY31" s="250">
        <f t="shared" si="68"/>
        <v>0</v>
      </c>
      <c r="BZ31" s="250">
        <f t="shared" si="69"/>
        <v>0</v>
      </c>
      <c r="CA31" s="250">
        <f t="shared" si="70"/>
        <v>0</v>
      </c>
      <c r="CB31" s="250">
        <f t="shared" si="71"/>
        <v>0</v>
      </c>
      <c r="CF31" s="273">
        <v>0</v>
      </c>
      <c r="CG31" s="273"/>
      <c r="CH31" s="273">
        <v>0</v>
      </c>
      <c r="CI31" s="274">
        <f>CH31*AF31</f>
        <v>0</v>
      </c>
      <c r="CJ31" s="251">
        <f t="shared" si="72"/>
        <v>0</v>
      </c>
      <c r="CK31" s="251">
        <f t="shared" si="73"/>
        <v>0</v>
      </c>
      <c r="CL31" s="251">
        <f t="shared" si="74"/>
        <v>0</v>
      </c>
      <c r="CM31" s="251">
        <f t="shared" si="75"/>
        <v>0</v>
      </c>
    </row>
    <row r="32" spans="1:91">
      <c r="A32" s="149" t="s">
        <v>97</v>
      </c>
      <c r="B32" s="218">
        <v>74.900000000000006</v>
      </c>
      <c r="C32" s="218">
        <v>3.4</v>
      </c>
      <c r="D32" s="218" t="s">
        <v>98</v>
      </c>
      <c r="E32" s="218" t="s">
        <v>99</v>
      </c>
      <c r="F32" s="252">
        <f t="shared" si="1"/>
        <v>25.21779386389462</v>
      </c>
      <c r="G32" s="252">
        <f t="shared" si="42"/>
        <v>3.0671141786961833</v>
      </c>
      <c r="H32" s="276"/>
      <c r="I32" s="255">
        <f>0.4*'nutrient content'!B5/100+0.35*'nutrient content'!L211/100+0.15*'nutrient content'!G85/100+0.1*'nutrient content'!B255/100</f>
        <v>2.9701249999999999</v>
      </c>
      <c r="J32" s="255">
        <f>0.4*'nutrient content'!C5/100+0.35*'nutrient content'!M211/100+0.15*'nutrient content'!H85/100+0.1*'nutrient content'!C255/100</f>
        <v>0.12162500000000001</v>
      </c>
      <c r="K32" s="256">
        <f>0.4*enviro!R128+0.35*enviro!R55+0.15*enviro!R282+0.1*enviro!R178</f>
        <v>1.7941113818660544E-2</v>
      </c>
      <c r="L32" s="256">
        <f>0.4*enviro!S128+0.35*enviro!S55+0.15*enviro!S282+0.1*enviro!S178</f>
        <v>7.9244372019902753E-2</v>
      </c>
      <c r="M32" s="256">
        <f>0.4*enviro!T128+0.35*enviro!T55+0.15*enviro!T282+0.1*enviro!T178</f>
        <v>11.72684065</v>
      </c>
      <c r="N32" s="256">
        <f>0.4*enviro!U128+0.35*enviro!U55+0.15*enviro!U282+0.1*enviro!U178</f>
        <v>3.0149259486899234E-3</v>
      </c>
      <c r="O32" s="246" t="s">
        <v>1667</v>
      </c>
      <c r="U32" s="257">
        <f t="shared" si="76"/>
        <v>115.64560000000002</v>
      </c>
      <c r="V32" s="257"/>
      <c r="W32" s="257">
        <f t="shared" si="2"/>
        <v>38.936273725853297</v>
      </c>
      <c r="X32" s="258">
        <f t="shared" si="3"/>
        <v>4.735624291906908</v>
      </c>
      <c r="Y32" s="219">
        <f t="shared" si="4"/>
        <v>0.69856011859005607</v>
      </c>
      <c r="Z32" s="219">
        <f t="shared" si="5"/>
        <v>3.0854805602002839</v>
      </c>
      <c r="AA32" s="219">
        <f t="shared" si="6"/>
        <v>456.5994774878634</v>
      </c>
      <c r="AB32" s="219">
        <f t="shared" si="7"/>
        <v>0.11738998200136878</v>
      </c>
      <c r="AE32" s="259">
        <f t="shared" si="53"/>
        <v>115.64560000000002</v>
      </c>
      <c r="AF32" s="259"/>
      <c r="AG32" s="259">
        <f t="shared" si="8"/>
        <v>38.936273725853297</v>
      </c>
      <c r="AH32" s="260">
        <f t="shared" si="9"/>
        <v>4.735624291906908</v>
      </c>
      <c r="AI32" s="247">
        <f t="shared" si="10"/>
        <v>0.69856011859005607</v>
      </c>
      <c r="AJ32" s="247">
        <f t="shared" si="11"/>
        <v>3.0854805602002839</v>
      </c>
      <c r="AK32" s="247">
        <f t="shared" si="12"/>
        <v>456.5994774878634</v>
      </c>
      <c r="AL32" s="247">
        <f t="shared" si="13"/>
        <v>0.11738998200136878</v>
      </c>
      <c r="AO32" s="261">
        <v>0</v>
      </c>
      <c r="AP32" s="261"/>
      <c r="AQ32" s="261">
        <f t="shared" si="61"/>
        <v>0</v>
      </c>
      <c r="AR32" s="262">
        <v>0</v>
      </c>
      <c r="AS32" s="220">
        <f t="shared" si="54"/>
        <v>0</v>
      </c>
      <c r="AT32" s="220">
        <f t="shared" si="55"/>
        <v>0</v>
      </c>
      <c r="AU32" s="220">
        <f t="shared" si="56"/>
        <v>0</v>
      </c>
      <c r="AV32" s="220">
        <f t="shared" si="57"/>
        <v>0</v>
      </c>
      <c r="AY32" s="264">
        <v>0</v>
      </c>
      <c r="AZ32" s="264"/>
      <c r="BA32" s="264">
        <f t="shared" si="62"/>
        <v>0</v>
      </c>
      <c r="BB32" s="265">
        <v>0</v>
      </c>
      <c r="BC32" s="248">
        <f t="shared" si="43"/>
        <v>0</v>
      </c>
      <c r="BD32" s="248">
        <f t="shared" si="22"/>
        <v>0</v>
      </c>
      <c r="BE32" s="248">
        <f t="shared" si="44"/>
        <v>0</v>
      </c>
      <c r="BF32" s="248">
        <f t="shared" si="23"/>
        <v>0</v>
      </c>
      <c r="BJ32" s="267">
        <v>0</v>
      </c>
      <c r="BK32" s="267"/>
      <c r="BL32" s="267">
        <f t="shared" si="63"/>
        <v>0</v>
      </c>
      <c r="BM32" s="268">
        <f t="shared" si="25"/>
        <v>0</v>
      </c>
      <c r="BN32" s="249">
        <f t="shared" si="64"/>
        <v>0</v>
      </c>
      <c r="BO32" s="249">
        <f t="shared" si="65"/>
        <v>0</v>
      </c>
      <c r="BP32" s="249">
        <f t="shared" si="66"/>
        <v>0</v>
      </c>
      <c r="BQ32" s="249">
        <f t="shared" si="67"/>
        <v>0</v>
      </c>
      <c r="BU32" s="270">
        <v>0</v>
      </c>
      <c r="BV32" s="270"/>
      <c r="BW32" s="270">
        <v>0</v>
      </c>
      <c r="BX32" s="271">
        <f t="shared" ref="BX32:BX38" si="78">BW32*U32</f>
        <v>0</v>
      </c>
      <c r="BY32" s="250">
        <f t="shared" si="68"/>
        <v>0</v>
      </c>
      <c r="BZ32" s="250">
        <f t="shared" si="69"/>
        <v>0</v>
      </c>
      <c r="CA32" s="250">
        <f t="shared" si="70"/>
        <v>0</v>
      </c>
      <c r="CB32" s="250">
        <f t="shared" si="71"/>
        <v>0</v>
      </c>
      <c r="CF32" s="273">
        <v>0</v>
      </c>
      <c r="CG32" s="273"/>
      <c r="CH32" s="273">
        <v>0</v>
      </c>
      <c r="CI32" s="274">
        <f t="shared" ref="CI32:CI38" si="79">CH32*AF32</f>
        <v>0</v>
      </c>
      <c r="CJ32" s="251">
        <f t="shared" si="72"/>
        <v>0</v>
      </c>
      <c r="CK32" s="251">
        <f t="shared" si="73"/>
        <v>0</v>
      </c>
      <c r="CL32" s="251">
        <f t="shared" si="74"/>
        <v>0</v>
      </c>
      <c r="CM32" s="251">
        <f t="shared" si="75"/>
        <v>0</v>
      </c>
    </row>
    <row r="33" spans="1:91">
      <c r="A33" s="150" t="s">
        <v>1022</v>
      </c>
      <c r="B33" s="218">
        <v>58.3</v>
      </c>
      <c r="C33" s="218">
        <v>2.9</v>
      </c>
      <c r="D33" s="218" t="s">
        <v>100</v>
      </c>
      <c r="E33" s="218" t="s">
        <v>101</v>
      </c>
      <c r="F33" s="252">
        <f t="shared" si="1"/>
        <v>95.289747399702819</v>
      </c>
      <c r="G33" s="252">
        <f t="shared" si="42"/>
        <v>0.58040118870728075</v>
      </c>
      <c r="H33" s="276"/>
      <c r="I33" s="255">
        <f>AVERAGE('nutrient content'!G96,'nutrient content'!G98,'nutrient content'!G107,'nutrient content'!G120,'nutrient content'!G125,'nutrient content'!G130,'nutrient content'!G138,'nutrient content'!B130,'nutrient content'!B133,'nutrient content'!B138,'nutrient content'!B141)/100</f>
        <v>0.61181818181818182</v>
      </c>
      <c r="J33" s="255">
        <f>AVERAGE('nutrient content'!H96,'nutrient content'!H98,'nutrient content'!H107,'nutrient content'!H120,'nutrient content'!H125,'nutrient content'!H130,'nutrient content'!H138,'nutrient content'!C130,'nutrient content'!C133,'nutrient content'!C138,'nutrient content'!C141)/100</f>
        <v>6.0909090909090904E-3</v>
      </c>
      <c r="K33" s="256">
        <f>enviro!AD11</f>
        <v>2.3035091986275125E-3</v>
      </c>
      <c r="L33" s="256">
        <f>enviro!AE11</f>
        <v>2.6136647324626439E-2</v>
      </c>
      <c r="M33" s="256">
        <f>enviro!AF11</f>
        <v>2.6729545454545462</v>
      </c>
      <c r="N33" s="256">
        <f>enviro!AG11</f>
        <v>6.3848489820413751E-4</v>
      </c>
      <c r="O33" s="246" t="s">
        <v>1560</v>
      </c>
      <c r="U33" s="257">
        <f t="shared" si="76"/>
        <v>90.015199999999993</v>
      </c>
      <c r="V33" s="257"/>
      <c r="W33" s="257">
        <f t="shared" si="2"/>
        <v>147.12736998514114</v>
      </c>
      <c r="X33" s="258">
        <f t="shared" si="3"/>
        <v>0.89613943536404139</v>
      </c>
      <c r="Y33" s="219">
        <f t="shared" si="4"/>
        <v>0.33890925013064599</v>
      </c>
      <c r="Z33" s="219">
        <f t="shared" si="5"/>
        <v>3.8454161811014638</v>
      </c>
      <c r="AA33" s="219">
        <f t="shared" si="6"/>
        <v>393.26477236255579</v>
      </c>
      <c r="AB33" s="219">
        <f t="shared" si="7"/>
        <v>9.3938603848005314E-2</v>
      </c>
      <c r="AE33" s="259">
        <f t="shared" si="53"/>
        <v>90.015199999999993</v>
      </c>
      <c r="AF33" s="259"/>
      <c r="AG33" s="259">
        <f t="shared" si="8"/>
        <v>147.12736998514114</v>
      </c>
      <c r="AH33" s="260">
        <f t="shared" si="9"/>
        <v>0.89613943536404139</v>
      </c>
      <c r="AI33" s="247">
        <f t="shared" si="10"/>
        <v>0.33890925013064599</v>
      </c>
      <c r="AJ33" s="247">
        <f t="shared" si="11"/>
        <v>3.8454161811014638</v>
      </c>
      <c r="AK33" s="247">
        <f t="shared" si="12"/>
        <v>393.26477236255579</v>
      </c>
      <c r="AL33" s="247">
        <f t="shared" si="13"/>
        <v>9.3938603848005314E-2</v>
      </c>
      <c r="AO33" s="261">
        <v>0</v>
      </c>
      <c r="AP33" s="261"/>
      <c r="AQ33" s="261">
        <f t="shared" si="61"/>
        <v>0</v>
      </c>
      <c r="AR33" s="262">
        <v>0</v>
      </c>
      <c r="AS33" s="220">
        <f t="shared" si="54"/>
        <v>0</v>
      </c>
      <c r="AT33" s="220">
        <f t="shared" si="55"/>
        <v>0</v>
      </c>
      <c r="AU33" s="220">
        <f t="shared" si="56"/>
        <v>0</v>
      </c>
      <c r="AV33" s="220">
        <f t="shared" si="57"/>
        <v>0</v>
      </c>
      <c r="AY33" s="264">
        <v>0</v>
      </c>
      <c r="AZ33" s="264"/>
      <c r="BA33" s="264">
        <f t="shared" si="62"/>
        <v>0</v>
      </c>
      <c r="BB33" s="265">
        <v>0</v>
      </c>
      <c r="BC33" s="248">
        <f t="shared" si="43"/>
        <v>0</v>
      </c>
      <c r="BD33" s="248">
        <f t="shared" si="22"/>
        <v>0</v>
      </c>
      <c r="BE33" s="248">
        <f t="shared" si="44"/>
        <v>0</v>
      </c>
      <c r="BF33" s="248">
        <f t="shared" si="23"/>
        <v>0</v>
      </c>
      <c r="BJ33" s="267">
        <v>0</v>
      </c>
      <c r="BK33" s="267"/>
      <c r="BL33" s="267">
        <f t="shared" si="63"/>
        <v>0</v>
      </c>
      <c r="BM33" s="268">
        <f t="shared" si="25"/>
        <v>0</v>
      </c>
      <c r="BN33" s="249">
        <f t="shared" si="64"/>
        <v>0</v>
      </c>
      <c r="BO33" s="249">
        <f t="shared" si="65"/>
        <v>0</v>
      </c>
      <c r="BP33" s="249">
        <f t="shared" si="66"/>
        <v>0</v>
      </c>
      <c r="BQ33" s="249">
        <f t="shared" si="67"/>
        <v>0</v>
      </c>
      <c r="BU33" s="270">
        <v>0</v>
      </c>
      <c r="BV33" s="270"/>
      <c r="BW33" s="270">
        <v>0</v>
      </c>
      <c r="BX33" s="271">
        <f t="shared" si="78"/>
        <v>0</v>
      </c>
      <c r="BY33" s="250">
        <f t="shared" si="68"/>
        <v>0</v>
      </c>
      <c r="BZ33" s="250">
        <f t="shared" si="69"/>
        <v>0</v>
      </c>
      <c r="CA33" s="250">
        <f t="shared" si="70"/>
        <v>0</v>
      </c>
      <c r="CB33" s="250">
        <f t="shared" si="71"/>
        <v>0</v>
      </c>
      <c r="CF33" s="273">
        <v>0</v>
      </c>
      <c r="CG33" s="273"/>
      <c r="CH33" s="273">
        <v>0</v>
      </c>
      <c r="CI33" s="274">
        <f t="shared" si="79"/>
        <v>0</v>
      </c>
      <c r="CJ33" s="251">
        <f t="shared" si="72"/>
        <v>0</v>
      </c>
      <c r="CK33" s="251">
        <f t="shared" si="73"/>
        <v>0</v>
      </c>
      <c r="CL33" s="251">
        <f t="shared" si="74"/>
        <v>0</v>
      </c>
      <c r="CM33" s="251">
        <f t="shared" si="75"/>
        <v>0</v>
      </c>
    </row>
    <row r="34" spans="1:91">
      <c r="A34" s="149" t="s">
        <v>102</v>
      </c>
      <c r="B34" s="218">
        <v>42.8</v>
      </c>
      <c r="C34" s="218">
        <v>2.2000000000000002</v>
      </c>
      <c r="D34" s="218" t="s">
        <v>103</v>
      </c>
      <c r="E34" s="218" t="s">
        <v>104</v>
      </c>
      <c r="F34" s="252">
        <f t="shared" si="1"/>
        <v>12.99575212010612</v>
      </c>
      <c r="G34" s="252">
        <f t="shared" si="42"/>
        <v>0.93661304421168878</v>
      </c>
      <c r="H34" s="276"/>
      <c r="I34" s="255">
        <f>AVERAGE('nutrient content'!B44,'nutrient content'!B60)/100</f>
        <v>3.2933838383838383</v>
      </c>
      <c r="J34" s="255">
        <f>AVERAGE('nutrient content'!C44,'nutrient content'!C60)/100</f>
        <v>7.2070707070707091E-2</v>
      </c>
      <c r="K34" s="256">
        <f>AVERAGE(enviro!AD20,enviro!AD12)</f>
        <v>1.8451704047271374E-2</v>
      </c>
      <c r="L34" s="256">
        <f>AVERAGE(enviro!AE20,enviro!AE12)</f>
        <v>0.11522772224837609</v>
      </c>
      <c r="M34" s="256">
        <f>AVERAGE(enviro!AF20,enviro!AF12)</f>
        <v>3.9250932875042608</v>
      </c>
      <c r="N34" s="256">
        <f>AVERAGE(enviro!AG20,enviro!AG12)</f>
        <v>1.4375839714917574E-3</v>
      </c>
      <c r="O34" s="246" t="s">
        <v>1573</v>
      </c>
      <c r="U34" s="257">
        <f t="shared" si="76"/>
        <v>66.083199999999991</v>
      </c>
      <c r="V34" s="257"/>
      <c r="W34" s="257">
        <f t="shared" si="2"/>
        <v>20.065441273443849</v>
      </c>
      <c r="X34" s="258">
        <f t="shared" si="3"/>
        <v>1.4461305402628475</v>
      </c>
      <c r="Y34" s="219">
        <f t="shared" si="4"/>
        <v>0.37024158395548995</v>
      </c>
      <c r="Z34" s="219">
        <f t="shared" si="5"/>
        <v>2.3120950938474896</v>
      </c>
      <c r="AA34" s="219">
        <f t="shared" si="6"/>
        <v>78.758728853205398</v>
      </c>
      <c r="AB34" s="219">
        <f t="shared" si="7"/>
        <v>2.8845756755612035E-2</v>
      </c>
      <c r="AE34" s="259">
        <f t="shared" si="53"/>
        <v>66.083199999999991</v>
      </c>
      <c r="AF34" s="259"/>
      <c r="AG34" s="259">
        <f t="shared" si="8"/>
        <v>20.065441273443849</v>
      </c>
      <c r="AH34" s="260">
        <f t="shared" si="9"/>
        <v>1.4461305402628475</v>
      </c>
      <c r="AI34" s="247">
        <f t="shared" si="10"/>
        <v>0.37024158395548995</v>
      </c>
      <c r="AJ34" s="247">
        <f t="shared" si="11"/>
        <v>2.3120950938474896</v>
      </c>
      <c r="AK34" s="247">
        <f t="shared" si="12"/>
        <v>78.758728853205398</v>
      </c>
      <c r="AL34" s="247">
        <f t="shared" si="13"/>
        <v>2.8845756755612035E-2</v>
      </c>
      <c r="AO34" s="261">
        <v>0</v>
      </c>
      <c r="AP34" s="261"/>
      <c r="AQ34" s="261">
        <f t="shared" si="61"/>
        <v>0</v>
      </c>
      <c r="AR34" s="262">
        <v>0</v>
      </c>
      <c r="AS34" s="220">
        <f t="shared" si="54"/>
        <v>0</v>
      </c>
      <c r="AT34" s="220">
        <f t="shared" si="55"/>
        <v>0</v>
      </c>
      <c r="AU34" s="220">
        <f t="shared" si="56"/>
        <v>0</v>
      </c>
      <c r="AV34" s="220">
        <f t="shared" si="57"/>
        <v>0</v>
      </c>
      <c r="AY34" s="264">
        <v>0</v>
      </c>
      <c r="AZ34" s="264"/>
      <c r="BA34" s="264">
        <f t="shared" si="62"/>
        <v>0</v>
      </c>
      <c r="BB34" s="265">
        <v>0</v>
      </c>
      <c r="BC34" s="248">
        <f t="shared" si="43"/>
        <v>0</v>
      </c>
      <c r="BD34" s="248">
        <f t="shared" si="22"/>
        <v>0</v>
      </c>
      <c r="BE34" s="248">
        <f t="shared" si="44"/>
        <v>0</v>
      </c>
      <c r="BF34" s="248">
        <f t="shared" si="23"/>
        <v>0</v>
      </c>
      <c r="BJ34" s="267">
        <v>0</v>
      </c>
      <c r="BK34" s="267"/>
      <c r="BL34" s="267">
        <f t="shared" si="63"/>
        <v>0</v>
      </c>
      <c r="BM34" s="268">
        <f t="shared" si="25"/>
        <v>0</v>
      </c>
      <c r="BN34" s="249">
        <f t="shared" si="64"/>
        <v>0</v>
      </c>
      <c r="BO34" s="249">
        <f t="shared" si="65"/>
        <v>0</v>
      </c>
      <c r="BP34" s="249">
        <f t="shared" si="66"/>
        <v>0</v>
      </c>
      <c r="BQ34" s="249">
        <f t="shared" si="67"/>
        <v>0</v>
      </c>
      <c r="BU34" s="270">
        <v>0</v>
      </c>
      <c r="BV34" s="270"/>
      <c r="BW34" s="270">
        <v>0</v>
      </c>
      <c r="BX34" s="271">
        <f t="shared" si="78"/>
        <v>0</v>
      </c>
      <c r="BY34" s="250">
        <f t="shared" si="68"/>
        <v>0</v>
      </c>
      <c r="BZ34" s="250">
        <f t="shared" si="69"/>
        <v>0</v>
      </c>
      <c r="CA34" s="250">
        <f t="shared" si="70"/>
        <v>0</v>
      </c>
      <c r="CB34" s="250">
        <f t="shared" si="71"/>
        <v>0</v>
      </c>
      <c r="CF34" s="273">
        <v>0</v>
      </c>
      <c r="CG34" s="273"/>
      <c r="CH34" s="273">
        <v>0</v>
      </c>
      <c r="CI34" s="274">
        <f t="shared" si="79"/>
        <v>0</v>
      </c>
      <c r="CJ34" s="251">
        <f t="shared" si="72"/>
        <v>0</v>
      </c>
      <c r="CK34" s="251">
        <f t="shared" si="73"/>
        <v>0</v>
      </c>
      <c r="CL34" s="251">
        <f t="shared" si="74"/>
        <v>0</v>
      </c>
      <c r="CM34" s="251">
        <f t="shared" si="75"/>
        <v>0</v>
      </c>
    </row>
    <row r="35" spans="1:91">
      <c r="A35" s="149" t="s">
        <v>105</v>
      </c>
      <c r="B35" s="218">
        <v>67.8</v>
      </c>
      <c r="C35" s="218">
        <v>3.2</v>
      </c>
      <c r="D35" s="218" t="s">
        <v>106</v>
      </c>
      <c r="E35" s="218" t="s">
        <v>107</v>
      </c>
      <c r="F35" s="252">
        <f t="shared" si="1"/>
        <v>8.8838829564766222</v>
      </c>
      <c r="G35" s="252">
        <f t="shared" si="42"/>
        <v>0.25610709048266961</v>
      </c>
      <c r="H35" s="276"/>
      <c r="I35" s="255">
        <f>'nutrient content'!B44*0.2/100+0.8*'nutrient content'!B275/100</f>
        <v>7.6317979797979802</v>
      </c>
      <c r="J35" s="255">
        <f>'nutrient content'!C44*0.2/100+0.8*'nutrient content'!C275/100</f>
        <v>2.8828282828282838E-2</v>
      </c>
      <c r="K35" s="256">
        <f>0.1*enviro!AD12+0.1*enviro!AD13+0.8*enviro!AD16</f>
        <v>1.4609151244027098E-2</v>
      </c>
      <c r="L35" s="256">
        <f>0.1*enviro!AE12+0.1*enviro!AE13+0.8*enviro!AE16</f>
        <v>0.432901775452324</v>
      </c>
      <c r="M35" s="256">
        <f>0.1*enviro!AF12+0.1*enviro!AF13+0.8*enviro!AF16</f>
        <v>6.5255908327252543</v>
      </c>
      <c r="N35" s="256">
        <f>0.1*enviro!AG12+0.1*enviro!AG13+0.8*enviro!AG16</f>
        <v>2.5373336548465157E-3</v>
      </c>
      <c r="O35" s="246" t="s">
        <v>1578</v>
      </c>
      <c r="U35" s="257">
        <f t="shared" si="76"/>
        <v>104.6832</v>
      </c>
      <c r="V35" s="257"/>
      <c r="W35" s="257">
        <f t="shared" si="2"/>
        <v>13.716715284799905</v>
      </c>
      <c r="X35" s="258">
        <f t="shared" si="3"/>
        <v>0.39542934770524185</v>
      </c>
      <c r="Y35" s="219">
        <f t="shared" si="4"/>
        <v>0.20038956816690004</v>
      </c>
      <c r="Z35" s="219">
        <f t="shared" si="5"/>
        <v>5.9379904001639092</v>
      </c>
      <c r="AA35" s="219">
        <f t="shared" si="6"/>
        <v>89.509671517592636</v>
      </c>
      <c r="AB35" s="219">
        <f t="shared" si="7"/>
        <v>3.4803883326070408E-2</v>
      </c>
      <c r="AE35" s="259">
        <f t="shared" si="53"/>
        <v>104.6832</v>
      </c>
      <c r="AF35" s="259"/>
      <c r="AG35" s="259">
        <f t="shared" si="8"/>
        <v>13.716715284799905</v>
      </c>
      <c r="AH35" s="260">
        <f t="shared" si="9"/>
        <v>0.39542934770524185</v>
      </c>
      <c r="AI35" s="247">
        <f t="shared" si="10"/>
        <v>0.20038956816690004</v>
      </c>
      <c r="AJ35" s="247">
        <f t="shared" si="11"/>
        <v>5.9379904001639092</v>
      </c>
      <c r="AK35" s="247">
        <f t="shared" si="12"/>
        <v>89.509671517592636</v>
      </c>
      <c r="AL35" s="247">
        <f t="shared" si="13"/>
        <v>3.4803883326070408E-2</v>
      </c>
      <c r="AO35" s="261">
        <v>0</v>
      </c>
      <c r="AP35" s="261"/>
      <c r="AQ35" s="261">
        <f t="shared" si="61"/>
        <v>0</v>
      </c>
      <c r="AR35" s="262">
        <v>0</v>
      </c>
      <c r="AS35" s="220">
        <f t="shared" si="54"/>
        <v>0</v>
      </c>
      <c r="AT35" s="220">
        <f t="shared" si="55"/>
        <v>0</v>
      </c>
      <c r="AU35" s="220">
        <f t="shared" si="56"/>
        <v>0</v>
      </c>
      <c r="AV35" s="220">
        <f t="shared" si="57"/>
        <v>0</v>
      </c>
      <c r="AY35" s="264">
        <v>0</v>
      </c>
      <c r="AZ35" s="264"/>
      <c r="BA35" s="264">
        <f t="shared" si="62"/>
        <v>0</v>
      </c>
      <c r="BB35" s="265">
        <v>0</v>
      </c>
      <c r="BC35" s="248">
        <f t="shared" si="43"/>
        <v>0</v>
      </c>
      <c r="BD35" s="248">
        <f t="shared" si="22"/>
        <v>0</v>
      </c>
      <c r="BE35" s="248">
        <f t="shared" si="44"/>
        <v>0</v>
      </c>
      <c r="BF35" s="248">
        <f t="shared" si="23"/>
        <v>0</v>
      </c>
      <c r="BJ35" s="267">
        <v>0</v>
      </c>
      <c r="BK35" s="267"/>
      <c r="BL35" s="267">
        <f t="shared" si="63"/>
        <v>0</v>
      </c>
      <c r="BM35" s="268">
        <f t="shared" si="25"/>
        <v>0</v>
      </c>
      <c r="BN35" s="249">
        <f t="shared" si="64"/>
        <v>0</v>
      </c>
      <c r="BO35" s="249">
        <f t="shared" si="65"/>
        <v>0</v>
      </c>
      <c r="BP35" s="249">
        <f t="shared" si="66"/>
        <v>0</v>
      </c>
      <c r="BQ35" s="249">
        <f t="shared" si="67"/>
        <v>0</v>
      </c>
      <c r="BU35" s="270">
        <v>0</v>
      </c>
      <c r="BV35" s="270"/>
      <c r="BW35" s="270">
        <v>0</v>
      </c>
      <c r="BX35" s="271">
        <f t="shared" si="78"/>
        <v>0</v>
      </c>
      <c r="BY35" s="250">
        <f t="shared" si="68"/>
        <v>0</v>
      </c>
      <c r="BZ35" s="250">
        <f t="shared" si="69"/>
        <v>0</v>
      </c>
      <c r="CA35" s="250">
        <f t="shared" si="70"/>
        <v>0</v>
      </c>
      <c r="CB35" s="250">
        <f t="shared" si="71"/>
        <v>0</v>
      </c>
      <c r="CF35" s="273">
        <v>0</v>
      </c>
      <c r="CG35" s="273"/>
      <c r="CH35" s="273">
        <v>0</v>
      </c>
      <c r="CI35" s="274">
        <f t="shared" si="79"/>
        <v>0</v>
      </c>
      <c r="CJ35" s="251">
        <f t="shared" si="72"/>
        <v>0</v>
      </c>
      <c r="CK35" s="251">
        <f t="shared" si="73"/>
        <v>0</v>
      </c>
      <c r="CL35" s="251">
        <f t="shared" si="74"/>
        <v>0</v>
      </c>
      <c r="CM35" s="251">
        <f t="shared" si="75"/>
        <v>0</v>
      </c>
    </row>
    <row r="36" spans="1:91">
      <c r="A36" s="149" t="s">
        <v>108</v>
      </c>
      <c r="B36" s="218">
        <v>40.299999999999997</v>
      </c>
      <c r="C36" s="218">
        <v>1.9</v>
      </c>
      <c r="D36" s="218" t="s">
        <v>109</v>
      </c>
      <c r="E36" s="218" t="s">
        <v>104</v>
      </c>
      <c r="F36" s="252">
        <f t="shared" si="1"/>
        <v>10.596092271016897</v>
      </c>
      <c r="G36" s="252">
        <f t="shared" si="42"/>
        <v>0.18745664571014559</v>
      </c>
      <c r="H36" s="276"/>
      <c r="I36" s="255">
        <f>0.67*'nutrient content'!B60/100+0.17*'nutrient content'!L210/100+0.17*'nutrient content'!B280/100</f>
        <v>3.8032888888888889</v>
      </c>
      <c r="J36" s="255">
        <f>0.67*'nutrient content'!C60/100+0.17*'nutrient content'!M210/100+0.17*'nutrient content'!C280/100</f>
        <v>1.7691111111111112E-2</v>
      </c>
      <c r="K36" s="256">
        <f>0.67*enviro!R248+0.165*enviro!R33+0.165*enviro!R44</f>
        <v>1.9797907564407637E-3</v>
      </c>
      <c r="L36" s="256">
        <f>0.67*enviro!S248+0.165*enviro!S33+0.165*enviro!S44</f>
        <v>1.3602906137440758E-2</v>
      </c>
      <c r="M36" s="256">
        <f>0.67*enviro!T248+0.165*enviro!T33+0.165*enviro!T44</f>
        <v>1.59687</v>
      </c>
      <c r="N36" s="256">
        <f>0.67*enviro!U248+0.165*enviro!U33+0.165*enviro!U44</f>
        <v>5.9652625315069431E-4</v>
      </c>
      <c r="O36" s="246" t="s">
        <v>1663</v>
      </c>
      <c r="U36" s="257">
        <f t="shared" si="76"/>
        <v>62.223199999999999</v>
      </c>
      <c r="V36" s="257"/>
      <c r="W36" s="257">
        <f t="shared" si="2"/>
        <v>16.360366466450088</v>
      </c>
      <c r="X36" s="258">
        <f t="shared" si="3"/>
        <v>0.28943306097646482</v>
      </c>
      <c r="Y36" s="219">
        <f t="shared" si="4"/>
        <v>3.2390102302261324E-2</v>
      </c>
      <c r="Z36" s="219">
        <f t="shared" si="5"/>
        <v>0.22254852941725387</v>
      </c>
      <c r="AA36" s="219">
        <f t="shared" si="6"/>
        <v>26.125378399280152</v>
      </c>
      <c r="AB36" s="219">
        <f t="shared" si="7"/>
        <v>9.7593881084037347E-3</v>
      </c>
      <c r="AE36" s="259">
        <f t="shared" si="53"/>
        <v>62.223199999999999</v>
      </c>
      <c r="AF36" s="259"/>
      <c r="AG36" s="259">
        <f t="shared" si="8"/>
        <v>16.360366466450088</v>
      </c>
      <c r="AH36" s="260">
        <f t="shared" si="9"/>
        <v>0.28943306097646482</v>
      </c>
      <c r="AI36" s="247">
        <f>$AG36*K36</f>
        <v>3.2390102302261324E-2</v>
      </c>
      <c r="AJ36" s="247">
        <f t="shared" si="11"/>
        <v>0.22254852941725387</v>
      </c>
      <c r="AK36" s="247">
        <f t="shared" si="12"/>
        <v>26.125378399280152</v>
      </c>
      <c r="AL36" s="247">
        <f>$AG36*N36</f>
        <v>9.7593881084037347E-3</v>
      </c>
      <c r="AO36" s="261">
        <v>0</v>
      </c>
      <c r="AP36" s="261"/>
      <c r="AQ36" s="261">
        <f t="shared" si="61"/>
        <v>0</v>
      </c>
      <c r="AR36" s="262">
        <v>0</v>
      </c>
      <c r="AS36" s="220">
        <f t="shared" si="54"/>
        <v>0</v>
      </c>
      <c r="AT36" s="220">
        <f t="shared" si="55"/>
        <v>0</v>
      </c>
      <c r="AU36" s="220">
        <f t="shared" si="56"/>
        <v>0</v>
      </c>
      <c r="AV36" s="220">
        <f t="shared" si="57"/>
        <v>0</v>
      </c>
      <c r="AY36" s="264">
        <v>0</v>
      </c>
      <c r="AZ36" s="264"/>
      <c r="BA36" s="264">
        <f t="shared" si="62"/>
        <v>0</v>
      </c>
      <c r="BB36" s="265">
        <v>0</v>
      </c>
      <c r="BC36" s="248">
        <f t="shared" si="43"/>
        <v>0</v>
      </c>
      <c r="BD36" s="248">
        <f t="shared" si="22"/>
        <v>0</v>
      </c>
      <c r="BE36" s="248">
        <f t="shared" si="44"/>
        <v>0</v>
      </c>
      <c r="BF36" s="248">
        <f t="shared" si="23"/>
        <v>0</v>
      </c>
      <c r="BJ36" s="267">
        <v>0</v>
      </c>
      <c r="BK36" s="267"/>
      <c r="BL36" s="267">
        <f t="shared" si="63"/>
        <v>0</v>
      </c>
      <c r="BM36" s="268">
        <f t="shared" si="25"/>
        <v>0</v>
      </c>
      <c r="BN36" s="249">
        <f t="shared" si="64"/>
        <v>0</v>
      </c>
      <c r="BO36" s="249">
        <f t="shared" si="65"/>
        <v>0</v>
      </c>
      <c r="BP36" s="249">
        <f t="shared" si="66"/>
        <v>0</v>
      </c>
      <c r="BQ36" s="249">
        <f t="shared" si="67"/>
        <v>0</v>
      </c>
      <c r="BU36" s="270">
        <v>0</v>
      </c>
      <c r="BV36" s="270"/>
      <c r="BW36" s="270">
        <v>0</v>
      </c>
      <c r="BX36" s="271">
        <f t="shared" si="78"/>
        <v>0</v>
      </c>
      <c r="BY36" s="250">
        <f t="shared" si="68"/>
        <v>0</v>
      </c>
      <c r="BZ36" s="250">
        <f t="shared" si="69"/>
        <v>0</v>
      </c>
      <c r="CA36" s="250">
        <f t="shared" si="70"/>
        <v>0</v>
      </c>
      <c r="CB36" s="250">
        <f t="shared" si="71"/>
        <v>0</v>
      </c>
      <c r="CF36" s="273">
        <v>0</v>
      </c>
      <c r="CG36" s="273"/>
      <c r="CH36" s="273">
        <v>0</v>
      </c>
      <c r="CI36" s="274">
        <f t="shared" si="79"/>
        <v>0</v>
      </c>
      <c r="CJ36" s="251">
        <f t="shared" si="72"/>
        <v>0</v>
      </c>
      <c r="CK36" s="251">
        <f t="shared" si="73"/>
        <v>0</v>
      </c>
      <c r="CL36" s="251">
        <f t="shared" si="74"/>
        <v>0</v>
      </c>
      <c r="CM36" s="251">
        <f t="shared" si="75"/>
        <v>0</v>
      </c>
    </row>
    <row r="37" spans="1:91">
      <c r="A37" s="149" t="s">
        <v>110</v>
      </c>
      <c r="B37" s="218">
        <v>57.4</v>
      </c>
      <c r="C37" s="218">
        <v>2.8</v>
      </c>
      <c r="D37" s="218" t="s">
        <v>111</v>
      </c>
      <c r="E37" s="218" t="s">
        <v>61</v>
      </c>
      <c r="F37" s="252">
        <f t="shared" si="1"/>
        <v>16.753837172963188</v>
      </c>
      <c r="G37" s="252">
        <f t="shared" si="42"/>
        <v>1.9140666662735646</v>
      </c>
      <c r="H37" s="276"/>
      <c r="I37" s="255">
        <f>0.2*'nutrient content'!B60/100+0.8*'nutrient content'!B44/100</f>
        <v>3.4260808080808083</v>
      </c>
      <c r="J37" s="255">
        <f>0.2*'nutrient content'!C60/100+0.8*'nutrient content'!C44/100</f>
        <v>0.11424646464646468</v>
      </c>
      <c r="K37" s="256">
        <f>0.8*enviro!AD13+0.2*enviro!R248</f>
        <v>4.7069498346713609E-3</v>
      </c>
      <c r="L37" s="256">
        <f>0.8*enviro!AE13+0.2*enviro!S248</f>
        <v>7.902329122742624E-2</v>
      </c>
      <c r="M37" s="256">
        <f>0.8*enviro!AF13+0.2*enviro!T248</f>
        <v>0.9456020207581759</v>
      </c>
      <c r="N37" s="256">
        <f>0.8*enviro!AG13+0.2*enviro!U248</f>
        <v>4.3261900857914138E-4</v>
      </c>
      <c r="O37" s="246" t="s">
        <v>1664</v>
      </c>
      <c r="U37" s="257">
        <f t="shared" si="76"/>
        <v>88.625600000000006</v>
      </c>
      <c r="V37" s="257"/>
      <c r="W37" s="257">
        <f t="shared" si="2"/>
        <v>25.867924595055161</v>
      </c>
      <c r="X37" s="258">
        <f t="shared" si="3"/>
        <v>2.9553189327263838</v>
      </c>
      <c r="Y37" s="219">
        <f t="shared" si="4"/>
        <v>0.12175902339598613</v>
      </c>
      <c r="Z37" s="219">
        <f t="shared" si="5"/>
        <v>2.0441685387241462</v>
      </c>
      <c r="AA37" s="219">
        <f t="shared" si="6"/>
        <v>24.460761769904281</v>
      </c>
      <c r="AB37" s="219">
        <f t="shared" si="7"/>
        <v>1.119095589231275E-2</v>
      </c>
      <c r="AE37" s="259">
        <f t="shared" si="53"/>
        <v>88.625600000000006</v>
      </c>
      <c r="AF37" s="259"/>
      <c r="AG37" s="259">
        <f t="shared" si="8"/>
        <v>25.867924595055161</v>
      </c>
      <c r="AH37" s="260">
        <f t="shared" si="9"/>
        <v>2.9553189327263838</v>
      </c>
      <c r="AI37" s="247">
        <f t="shared" si="10"/>
        <v>0.12175902339598613</v>
      </c>
      <c r="AJ37" s="247">
        <f t="shared" si="11"/>
        <v>2.0441685387241462</v>
      </c>
      <c r="AK37" s="247">
        <f t="shared" si="12"/>
        <v>24.460761769904281</v>
      </c>
      <c r="AL37" s="247">
        <f t="shared" si="13"/>
        <v>1.119095589231275E-2</v>
      </c>
      <c r="AO37" s="261">
        <v>0</v>
      </c>
      <c r="AP37" s="261"/>
      <c r="AQ37" s="261">
        <f t="shared" si="61"/>
        <v>0</v>
      </c>
      <c r="AR37" s="262">
        <v>0</v>
      </c>
      <c r="AS37" s="220">
        <f t="shared" si="54"/>
        <v>0</v>
      </c>
      <c r="AT37" s="220">
        <f t="shared" si="55"/>
        <v>0</v>
      </c>
      <c r="AU37" s="220">
        <f t="shared" si="56"/>
        <v>0</v>
      </c>
      <c r="AV37" s="220">
        <f t="shared" si="57"/>
        <v>0</v>
      </c>
      <c r="AY37" s="264">
        <v>0</v>
      </c>
      <c r="AZ37" s="264"/>
      <c r="BA37" s="264">
        <f t="shared" si="62"/>
        <v>0</v>
      </c>
      <c r="BB37" s="265">
        <v>0</v>
      </c>
      <c r="BC37" s="248">
        <f t="shared" si="43"/>
        <v>0</v>
      </c>
      <c r="BD37" s="248">
        <f t="shared" si="22"/>
        <v>0</v>
      </c>
      <c r="BE37" s="248">
        <f t="shared" si="44"/>
        <v>0</v>
      </c>
      <c r="BF37" s="248">
        <f t="shared" si="23"/>
        <v>0</v>
      </c>
      <c r="BJ37" s="267">
        <v>0</v>
      </c>
      <c r="BK37" s="267"/>
      <c r="BL37" s="267">
        <f t="shared" si="63"/>
        <v>0</v>
      </c>
      <c r="BM37" s="268">
        <f t="shared" si="25"/>
        <v>0</v>
      </c>
      <c r="BN37" s="249">
        <f t="shared" si="64"/>
        <v>0</v>
      </c>
      <c r="BO37" s="249">
        <f t="shared" si="65"/>
        <v>0</v>
      </c>
      <c r="BP37" s="249">
        <f t="shared" si="66"/>
        <v>0</v>
      </c>
      <c r="BQ37" s="249">
        <f t="shared" si="67"/>
        <v>0</v>
      </c>
      <c r="BU37" s="270">
        <v>0</v>
      </c>
      <c r="BV37" s="270"/>
      <c r="BW37" s="270">
        <v>0</v>
      </c>
      <c r="BX37" s="271">
        <f t="shared" si="78"/>
        <v>0</v>
      </c>
      <c r="BY37" s="250">
        <f t="shared" si="68"/>
        <v>0</v>
      </c>
      <c r="BZ37" s="250">
        <f t="shared" si="69"/>
        <v>0</v>
      </c>
      <c r="CA37" s="250">
        <f t="shared" si="70"/>
        <v>0</v>
      </c>
      <c r="CB37" s="250">
        <f t="shared" si="71"/>
        <v>0</v>
      </c>
      <c r="CF37" s="273">
        <v>0</v>
      </c>
      <c r="CG37" s="273"/>
      <c r="CH37" s="273">
        <v>0</v>
      </c>
      <c r="CI37" s="274">
        <f t="shared" si="79"/>
        <v>0</v>
      </c>
      <c r="CJ37" s="251">
        <f t="shared" si="72"/>
        <v>0</v>
      </c>
      <c r="CK37" s="251">
        <f t="shared" si="73"/>
        <v>0</v>
      </c>
      <c r="CL37" s="251">
        <f t="shared" si="74"/>
        <v>0</v>
      </c>
      <c r="CM37" s="251">
        <f t="shared" si="75"/>
        <v>0</v>
      </c>
    </row>
    <row r="38" spans="1:91">
      <c r="A38" s="150" t="s">
        <v>1017</v>
      </c>
      <c r="B38" s="218">
        <v>28.3</v>
      </c>
      <c r="C38" s="218">
        <v>1.3</v>
      </c>
      <c r="D38" s="218" t="s">
        <v>112</v>
      </c>
      <c r="E38" s="218" t="s">
        <v>32</v>
      </c>
      <c r="F38" s="252">
        <f t="shared" si="1"/>
        <v>17.70330652368186</v>
      </c>
      <c r="G38" s="252">
        <f t="shared" si="42"/>
        <v>1.5882394995531721</v>
      </c>
      <c r="H38" s="276"/>
      <c r="I38" s="255">
        <f>'nutrient content'!L212/100</f>
        <v>1.5985714285714285</v>
      </c>
      <c r="J38" s="255">
        <f>'nutrient content'!M212/100</f>
        <v>8.9714285714285691E-2</v>
      </c>
      <c r="K38" s="256">
        <f>enviro!AD8</f>
        <v>2.0793191137648513E-2</v>
      </c>
      <c r="L38" s="256">
        <f>enviro!AE8</f>
        <v>6.1135713524352396E-2</v>
      </c>
      <c r="M38" s="256">
        <f>enviro!AF8</f>
        <v>8.6341785333333316</v>
      </c>
      <c r="N38" s="256">
        <f>enviro!AG8</f>
        <v>3.8352346564954876E-3</v>
      </c>
      <c r="O38" s="246" t="s">
        <v>1553</v>
      </c>
      <c r="U38" s="257">
        <f t="shared" si="76"/>
        <v>43.6952</v>
      </c>
      <c r="V38" s="257"/>
      <c r="W38" s="257">
        <f t="shared" si="2"/>
        <v>27.333905272564792</v>
      </c>
      <c r="X38" s="258">
        <f t="shared" si="3"/>
        <v>2.4522417873100979</v>
      </c>
      <c r="Y38" s="219">
        <f t="shared" si="4"/>
        <v>0.56835911687081819</v>
      </c>
      <c r="Z38" s="219">
        <f t="shared" si="5"/>
        <v>1.6710778022453066</v>
      </c>
      <c r="AA38" s="219">
        <f t="shared" si="6"/>
        <v>236.00581813654568</v>
      </c>
      <c r="AB38" s="219">
        <f t="shared" si="7"/>
        <v>0.10483194079870523</v>
      </c>
      <c r="AE38" s="259">
        <f t="shared" si="53"/>
        <v>43.6952</v>
      </c>
      <c r="AF38" s="259"/>
      <c r="AG38" s="259">
        <f t="shared" si="8"/>
        <v>27.333905272564792</v>
      </c>
      <c r="AH38" s="260">
        <f t="shared" si="9"/>
        <v>2.4522417873100979</v>
      </c>
      <c r="AI38" s="247">
        <f t="shared" si="10"/>
        <v>0.56835911687081819</v>
      </c>
      <c r="AJ38" s="247">
        <f t="shared" si="11"/>
        <v>1.6710778022453066</v>
      </c>
      <c r="AK38" s="247">
        <f t="shared" si="12"/>
        <v>236.00581813654568</v>
      </c>
      <c r="AL38" s="247">
        <f t="shared" si="13"/>
        <v>0.10483194079870523</v>
      </c>
      <c r="AO38" s="261">
        <v>0</v>
      </c>
      <c r="AP38" s="261"/>
      <c r="AQ38" s="261">
        <f t="shared" si="61"/>
        <v>0</v>
      </c>
      <c r="AR38" s="262">
        <v>0</v>
      </c>
      <c r="AS38" s="220">
        <f t="shared" si="54"/>
        <v>0</v>
      </c>
      <c r="AT38" s="220">
        <f t="shared" si="55"/>
        <v>0</v>
      </c>
      <c r="AU38" s="220">
        <f t="shared" si="56"/>
        <v>0</v>
      </c>
      <c r="AV38" s="220">
        <f t="shared" si="57"/>
        <v>0</v>
      </c>
      <c r="AY38" s="264">
        <v>0</v>
      </c>
      <c r="AZ38" s="264"/>
      <c r="BA38" s="264">
        <f t="shared" si="62"/>
        <v>0</v>
      </c>
      <c r="BB38" s="265">
        <v>0</v>
      </c>
      <c r="BC38" s="248">
        <f t="shared" si="43"/>
        <v>0</v>
      </c>
      <c r="BD38" s="248">
        <f t="shared" si="22"/>
        <v>0</v>
      </c>
      <c r="BE38" s="248">
        <f t="shared" si="44"/>
        <v>0</v>
      </c>
      <c r="BF38" s="248">
        <f t="shared" si="23"/>
        <v>0</v>
      </c>
      <c r="BJ38" s="267">
        <v>0</v>
      </c>
      <c r="BK38" s="267"/>
      <c r="BL38" s="267">
        <f t="shared" si="63"/>
        <v>0</v>
      </c>
      <c r="BM38" s="268">
        <f t="shared" si="25"/>
        <v>0</v>
      </c>
      <c r="BN38" s="249">
        <f t="shared" si="64"/>
        <v>0</v>
      </c>
      <c r="BO38" s="249">
        <f t="shared" si="65"/>
        <v>0</v>
      </c>
      <c r="BP38" s="249">
        <f t="shared" si="66"/>
        <v>0</v>
      </c>
      <c r="BQ38" s="249">
        <f t="shared" si="67"/>
        <v>0</v>
      </c>
      <c r="BU38" s="270">
        <v>0</v>
      </c>
      <c r="BV38" s="270"/>
      <c r="BW38" s="270">
        <v>0</v>
      </c>
      <c r="BX38" s="271">
        <f t="shared" si="78"/>
        <v>0</v>
      </c>
      <c r="BY38" s="250">
        <f t="shared" si="68"/>
        <v>0</v>
      </c>
      <c r="BZ38" s="250">
        <f t="shared" si="69"/>
        <v>0</v>
      </c>
      <c r="CA38" s="250">
        <f t="shared" si="70"/>
        <v>0</v>
      </c>
      <c r="CB38" s="250">
        <f t="shared" si="71"/>
        <v>0</v>
      </c>
      <c r="CF38" s="273">
        <v>0</v>
      </c>
      <c r="CG38" s="273"/>
      <c r="CH38" s="273">
        <v>0</v>
      </c>
      <c r="CI38" s="274">
        <f t="shared" si="79"/>
        <v>0</v>
      </c>
      <c r="CJ38" s="251">
        <f t="shared" si="72"/>
        <v>0</v>
      </c>
      <c r="CK38" s="251">
        <f t="shared" si="73"/>
        <v>0</v>
      </c>
      <c r="CL38" s="251">
        <f t="shared" si="74"/>
        <v>0</v>
      </c>
      <c r="CM38" s="251">
        <f t="shared" si="75"/>
        <v>0</v>
      </c>
    </row>
    <row r="39" spans="1:91">
      <c r="A39" s="150" t="s">
        <v>1018</v>
      </c>
      <c r="B39" s="218">
        <v>24.4</v>
      </c>
      <c r="C39" s="218">
        <v>1.2</v>
      </c>
      <c r="D39" s="218" t="s">
        <v>113</v>
      </c>
      <c r="E39" s="218" t="s">
        <v>63</v>
      </c>
      <c r="F39" s="252">
        <f t="shared" si="1"/>
        <v>7.9421338155515357</v>
      </c>
      <c r="G39" s="252">
        <f t="shared" si="42"/>
        <v>1.4119349005424952E-2</v>
      </c>
      <c r="H39" s="276"/>
      <c r="I39" s="255">
        <f>AVERAGE('nutrient content'!B60)/100</f>
        <v>3.0722222222222224</v>
      </c>
      <c r="J39" s="255">
        <f>AVERAGE('nutrient content'!C60)/100</f>
        <v>1.7777777777777776E-3</v>
      </c>
      <c r="K39" s="256">
        <f>enviro!AD20</f>
        <v>2.9059287554692143E-2</v>
      </c>
      <c r="L39" s="256">
        <f>enviro!AE20</f>
        <v>8.8462474690041065E-2</v>
      </c>
      <c r="M39" s="256">
        <f>enviro!AF20</f>
        <v>6.1878971954180058</v>
      </c>
      <c r="N39" s="256">
        <f>enviro!AG20</f>
        <v>1.7614451364667094E-3</v>
      </c>
      <c r="O39" s="246" t="s">
        <v>1562</v>
      </c>
      <c r="U39" s="257">
        <f>B39*$U$46</f>
        <v>37.6736</v>
      </c>
      <c r="V39" s="257"/>
      <c r="W39" s="257">
        <f t="shared" si="2"/>
        <v>12.262654611211573</v>
      </c>
      <c r="X39" s="258">
        <f t="shared" si="3"/>
        <v>2.1800274864376128E-2</v>
      </c>
      <c r="Y39" s="219">
        <f t="shared" si="4"/>
        <v>0.35634400653106868</v>
      </c>
      <c r="Z39" s="219">
        <f t="shared" si="5"/>
        <v>1.0847847731770193</v>
      </c>
      <c r="AA39" s="219">
        <f t="shared" si="6"/>
        <v>75.88004607709577</v>
      </c>
      <c r="AB39" s="219">
        <f t="shared" si="7"/>
        <v>2.1599993325089693E-2</v>
      </c>
      <c r="AE39" s="259">
        <f t="shared" si="53"/>
        <v>37.6736</v>
      </c>
      <c r="AF39" s="259"/>
      <c r="AG39" s="259">
        <f t="shared" si="8"/>
        <v>12.262654611211573</v>
      </c>
      <c r="AH39" s="260">
        <f t="shared" si="9"/>
        <v>2.1800274864376128E-2</v>
      </c>
      <c r="AI39" s="247">
        <f t="shared" si="10"/>
        <v>0.35634400653106868</v>
      </c>
      <c r="AJ39" s="247">
        <f t="shared" si="11"/>
        <v>1.0847847731770193</v>
      </c>
      <c r="AK39" s="247">
        <f t="shared" si="12"/>
        <v>75.88004607709577</v>
      </c>
      <c r="AL39" s="247">
        <f t="shared" si="13"/>
        <v>2.1599993325089693E-2</v>
      </c>
      <c r="AO39" s="261">
        <v>0</v>
      </c>
      <c r="AP39" s="261"/>
      <c r="AQ39" s="261">
        <f t="shared" si="61"/>
        <v>0</v>
      </c>
      <c r="AR39" s="262">
        <v>0</v>
      </c>
      <c r="AS39" s="220">
        <f t="shared" si="54"/>
        <v>0</v>
      </c>
      <c r="AT39" s="220">
        <f t="shared" si="55"/>
        <v>0</v>
      </c>
      <c r="AU39" s="220">
        <f t="shared" si="56"/>
        <v>0</v>
      </c>
      <c r="AV39" s="220">
        <f t="shared" si="57"/>
        <v>0</v>
      </c>
      <c r="AY39" s="264">
        <v>0</v>
      </c>
      <c r="AZ39" s="264"/>
      <c r="BA39" s="264">
        <f t="shared" si="62"/>
        <v>0</v>
      </c>
      <c r="BB39" s="265">
        <v>0</v>
      </c>
      <c r="BC39" s="248">
        <f t="shared" si="43"/>
        <v>0</v>
      </c>
      <c r="BD39" s="248">
        <f t="shared" si="22"/>
        <v>0</v>
      </c>
      <c r="BE39" s="248">
        <f t="shared" si="44"/>
        <v>0</v>
      </c>
      <c r="BF39" s="248">
        <f t="shared" si="23"/>
        <v>0</v>
      </c>
      <c r="BJ39" s="267">
        <v>0</v>
      </c>
      <c r="BK39" s="267"/>
      <c r="BL39" s="267">
        <f t="shared" si="63"/>
        <v>0</v>
      </c>
      <c r="BM39" s="268">
        <f>BL39*J39</f>
        <v>0</v>
      </c>
      <c r="BN39" s="249">
        <f t="shared" si="64"/>
        <v>0</v>
      </c>
      <c r="BO39" s="249">
        <f t="shared" si="65"/>
        <v>0</v>
      </c>
      <c r="BP39" s="249">
        <f t="shared" si="66"/>
        <v>0</v>
      </c>
      <c r="BQ39" s="249">
        <f t="shared" si="67"/>
        <v>0</v>
      </c>
      <c r="BU39" s="270">
        <v>0</v>
      </c>
      <c r="BV39" s="270"/>
      <c r="BW39" s="270">
        <v>0</v>
      </c>
      <c r="BX39" s="271">
        <f>BW39*U39</f>
        <v>0</v>
      </c>
      <c r="BY39" s="250">
        <f t="shared" si="68"/>
        <v>0</v>
      </c>
      <c r="BZ39" s="250">
        <f t="shared" si="69"/>
        <v>0</v>
      </c>
      <c r="CA39" s="250">
        <f t="shared" si="70"/>
        <v>0</v>
      </c>
      <c r="CB39" s="250">
        <f t="shared" si="71"/>
        <v>0</v>
      </c>
      <c r="CF39" s="273">
        <v>0</v>
      </c>
      <c r="CG39" s="273"/>
      <c r="CH39" s="273">
        <v>0</v>
      </c>
      <c r="CI39" s="274">
        <f>CH39*AF39</f>
        <v>0</v>
      </c>
      <c r="CJ39" s="251">
        <f t="shared" si="72"/>
        <v>0</v>
      </c>
      <c r="CK39" s="251">
        <f t="shared" si="73"/>
        <v>0</v>
      </c>
      <c r="CL39" s="251">
        <f t="shared" si="74"/>
        <v>0</v>
      </c>
      <c r="CM39" s="251">
        <f t="shared" si="75"/>
        <v>0</v>
      </c>
    </row>
    <row r="40" spans="1:91">
      <c r="A40" s="150" t="s">
        <v>1019</v>
      </c>
      <c r="B40" s="218">
        <v>34</v>
      </c>
      <c r="C40" s="218">
        <v>1.5</v>
      </c>
      <c r="D40" s="218" t="s">
        <v>114</v>
      </c>
      <c r="E40" s="218" t="s">
        <v>31</v>
      </c>
      <c r="F40" s="252">
        <f t="shared" si="1"/>
        <v>50.746268656716417</v>
      </c>
      <c r="G40" s="252">
        <f t="shared" si="42"/>
        <v>0.81194029850746274</v>
      </c>
      <c r="H40" s="276"/>
      <c r="I40" s="255">
        <f>'nutrient content'!G20/100</f>
        <v>0.67</v>
      </c>
      <c r="J40" s="255">
        <f>'nutrient content'!H20/100</f>
        <v>1.6E-2</v>
      </c>
      <c r="K40" s="256">
        <f>enviro!AD21</f>
        <v>5.5636766460262456E-4</v>
      </c>
      <c r="L40" s="256">
        <f>enviro!AE21</f>
        <v>1.354456626711356E-2</v>
      </c>
      <c r="M40" s="256">
        <f>enviro!AF21</f>
        <v>0.66982758620000005</v>
      </c>
      <c r="N40" s="256">
        <f>enviro!AG21</f>
        <v>7.0431572008113595E-4</v>
      </c>
      <c r="O40" s="246" t="s">
        <v>902</v>
      </c>
      <c r="U40" s="257">
        <f>B40*$U$46</f>
        <v>52.496000000000002</v>
      </c>
      <c r="V40" s="257"/>
      <c r="W40" s="257">
        <f t="shared" si="2"/>
        <v>78.352238805970146</v>
      </c>
      <c r="X40" s="258">
        <f t="shared" si="3"/>
        <v>1.2536358208955223</v>
      </c>
      <c r="Y40" s="219">
        <f t="shared" si="4"/>
        <v>4.3592652120864744E-2</v>
      </c>
      <c r="Z40" s="219">
        <f t="shared" si="5"/>
        <v>1.0612470906841693</v>
      </c>
      <c r="AA40" s="219">
        <f t="shared" si="6"/>
        <v>52.482490992768959</v>
      </c>
      <c r="AB40" s="219">
        <f t="shared" si="7"/>
        <v>5.5184713494595986E-2</v>
      </c>
      <c r="AE40" s="259">
        <f t="shared" si="53"/>
        <v>52.496000000000002</v>
      </c>
      <c r="AF40" s="259"/>
      <c r="AG40" s="259">
        <f t="shared" si="8"/>
        <v>78.352238805970146</v>
      </c>
      <c r="AH40" s="260">
        <f t="shared" si="9"/>
        <v>1.2536358208955223</v>
      </c>
      <c r="AI40" s="247">
        <f t="shared" si="10"/>
        <v>4.3592652120864744E-2</v>
      </c>
      <c r="AJ40" s="247">
        <f t="shared" si="11"/>
        <v>1.0612470906841693</v>
      </c>
      <c r="AK40" s="247">
        <f t="shared" si="12"/>
        <v>52.482490992768959</v>
      </c>
      <c r="AL40" s="247">
        <f t="shared" si="13"/>
        <v>5.5184713494595986E-2</v>
      </c>
      <c r="AO40" s="261">
        <v>0</v>
      </c>
      <c r="AP40" s="261"/>
      <c r="AQ40" s="261">
        <f t="shared" si="61"/>
        <v>0</v>
      </c>
      <c r="AR40" s="262">
        <v>0</v>
      </c>
      <c r="AS40" s="220">
        <f t="shared" si="54"/>
        <v>0</v>
      </c>
      <c r="AT40" s="220">
        <f t="shared" si="55"/>
        <v>0</v>
      </c>
      <c r="AU40" s="220">
        <f t="shared" si="56"/>
        <v>0</v>
      </c>
      <c r="AV40" s="220">
        <f t="shared" si="57"/>
        <v>0</v>
      </c>
      <c r="AY40" s="264">
        <f t="shared" si="58"/>
        <v>0</v>
      </c>
      <c r="AZ40" s="264"/>
      <c r="BA40" s="264">
        <f t="shared" si="62"/>
        <v>0</v>
      </c>
      <c r="BB40" s="265">
        <v>0</v>
      </c>
      <c r="BC40" s="248">
        <f t="shared" si="43"/>
        <v>0</v>
      </c>
      <c r="BD40" s="248">
        <f t="shared" si="22"/>
        <v>0</v>
      </c>
      <c r="BE40" s="248">
        <f t="shared" si="44"/>
        <v>0</v>
      </c>
      <c r="BF40" s="248">
        <f t="shared" si="23"/>
        <v>0</v>
      </c>
      <c r="BJ40" s="267"/>
      <c r="BK40" s="267"/>
      <c r="BL40" s="267">
        <f t="shared" si="63"/>
        <v>0</v>
      </c>
      <c r="BM40" s="268">
        <f t="shared" si="25"/>
        <v>0</v>
      </c>
      <c r="BN40" s="249">
        <f t="shared" si="64"/>
        <v>0</v>
      </c>
      <c r="BO40" s="249">
        <f t="shared" si="65"/>
        <v>0</v>
      </c>
      <c r="BP40" s="249">
        <f t="shared" si="66"/>
        <v>0</v>
      </c>
      <c r="BQ40" s="249">
        <f t="shared" si="67"/>
        <v>0</v>
      </c>
      <c r="BU40" s="270"/>
      <c r="BV40" s="270"/>
      <c r="BW40" s="270">
        <v>0</v>
      </c>
      <c r="BX40" s="271">
        <f t="shared" ref="BX40:BX43" si="80">BW40*U40</f>
        <v>0</v>
      </c>
      <c r="BY40" s="250">
        <f t="shared" si="68"/>
        <v>0</v>
      </c>
      <c r="BZ40" s="250">
        <f t="shared" si="69"/>
        <v>0</v>
      </c>
      <c r="CA40" s="250">
        <f t="shared" si="70"/>
        <v>0</v>
      </c>
      <c r="CB40" s="250">
        <f t="shared" si="71"/>
        <v>0</v>
      </c>
      <c r="CF40" s="273"/>
      <c r="CG40" s="273"/>
      <c r="CH40" s="273">
        <v>0</v>
      </c>
      <c r="CI40" s="274">
        <f t="shared" ref="CI40:CI43" si="81">CH40*AF40</f>
        <v>0</v>
      </c>
      <c r="CJ40" s="251">
        <f t="shared" si="72"/>
        <v>0</v>
      </c>
      <c r="CK40" s="251">
        <f t="shared" si="73"/>
        <v>0</v>
      </c>
      <c r="CL40" s="251">
        <f t="shared" si="74"/>
        <v>0</v>
      </c>
      <c r="CM40" s="251">
        <f t="shared" si="75"/>
        <v>0</v>
      </c>
    </row>
    <row r="41" spans="1:91">
      <c r="A41" s="149" t="s">
        <v>115</v>
      </c>
      <c r="B41" s="218">
        <v>36.9</v>
      </c>
      <c r="C41" s="218">
        <v>1.7</v>
      </c>
      <c r="D41" s="218" t="s">
        <v>116</v>
      </c>
      <c r="E41" s="218" t="s">
        <v>39</v>
      </c>
      <c r="F41" s="252">
        <f t="shared" si="1"/>
        <v>13.384245565788563</v>
      </c>
      <c r="G41" s="252">
        <f t="shared" si="42"/>
        <v>2.0795284848005222</v>
      </c>
      <c r="H41" s="276"/>
      <c r="I41" s="255">
        <f>AVERAGE('nutrient content'!B44,'nutrient content'!L194)/100</f>
        <v>2.7569727272727271</v>
      </c>
      <c r="J41" s="255">
        <f>AVERAGE('nutrient content'!C44,'nutrient content'!M194)/100</f>
        <v>0.15537136363636364</v>
      </c>
      <c r="K41" s="256">
        <f>AVERAGE(enviro!AD19,enviro!AD18,enviro!AD12)</f>
        <v>0.12073817018635165</v>
      </c>
      <c r="L41" s="256">
        <f>AVERAGE(enviro!AE19,enviro!AE18,enviro!AE12)</f>
        <v>0.24513398125854416</v>
      </c>
      <c r="M41" s="256">
        <f>AVERAGE(enviro!AF19,enviro!AF18,enviro!AF12)</f>
        <v>5.1004572557449572</v>
      </c>
      <c r="N41" s="256">
        <f>AVERAGE(enviro!AG19,enviro!AG18,enviro!AG12)</f>
        <v>9.491829402612206E-3</v>
      </c>
      <c r="O41" s="246" t="s">
        <v>1563</v>
      </c>
      <c r="U41" s="257">
        <f>B41</f>
        <v>36.9</v>
      </c>
      <c r="V41" s="257"/>
      <c r="W41" s="257">
        <f t="shared" si="2"/>
        <v>13.384245565788563</v>
      </c>
      <c r="X41" s="258">
        <f t="shared" si="3"/>
        <v>2.0795284848005222</v>
      </c>
      <c r="Y41" s="219">
        <f t="shared" si="4"/>
        <v>1.6159893189381018</v>
      </c>
      <c r="Z41" s="219">
        <f t="shared" si="5"/>
        <v>3.2809334016837663</v>
      </c>
      <c r="AA41" s="219">
        <f t="shared" si="6"/>
        <v>68.265772408698538</v>
      </c>
      <c r="AB41" s="219">
        <f t="shared" si="7"/>
        <v>0.12704097559313393</v>
      </c>
      <c r="AE41" s="259">
        <f t="shared" si="53"/>
        <v>36.9</v>
      </c>
      <c r="AF41" s="259"/>
      <c r="AG41" s="259">
        <f t="shared" si="8"/>
        <v>13.384245565788563</v>
      </c>
      <c r="AH41" s="260">
        <f t="shared" si="9"/>
        <v>2.0795284848005222</v>
      </c>
      <c r="AI41" s="247">
        <f t="shared" si="10"/>
        <v>1.6159893189381018</v>
      </c>
      <c r="AJ41" s="247">
        <f t="shared" si="11"/>
        <v>3.2809334016837663</v>
      </c>
      <c r="AK41" s="247">
        <f t="shared" si="12"/>
        <v>68.265772408698538</v>
      </c>
      <c r="AL41" s="247">
        <f t="shared" si="13"/>
        <v>0.12704097559313393</v>
      </c>
      <c r="AO41" s="261">
        <v>0</v>
      </c>
      <c r="AP41" s="261"/>
      <c r="AQ41" s="261">
        <f t="shared" si="61"/>
        <v>0</v>
      </c>
      <c r="AR41" s="262">
        <v>0</v>
      </c>
      <c r="AS41" s="220">
        <f t="shared" si="54"/>
        <v>0</v>
      </c>
      <c r="AT41" s="220">
        <f t="shared" si="55"/>
        <v>0</v>
      </c>
      <c r="AU41" s="220">
        <f t="shared" si="56"/>
        <v>0</v>
      </c>
      <c r="AV41" s="220">
        <f t="shared" si="57"/>
        <v>0</v>
      </c>
      <c r="AY41" s="264">
        <v>0</v>
      </c>
      <c r="AZ41" s="264"/>
      <c r="BA41" s="264">
        <f t="shared" si="62"/>
        <v>0</v>
      </c>
      <c r="BB41" s="265">
        <v>0</v>
      </c>
      <c r="BC41" s="248">
        <f t="shared" si="43"/>
        <v>0</v>
      </c>
      <c r="BD41" s="248">
        <f t="shared" si="22"/>
        <v>0</v>
      </c>
      <c r="BE41" s="248">
        <f t="shared" si="44"/>
        <v>0</v>
      </c>
      <c r="BF41" s="248">
        <f t="shared" si="23"/>
        <v>0</v>
      </c>
      <c r="BJ41" s="267">
        <v>0</v>
      </c>
      <c r="BK41" s="267"/>
      <c r="BL41" s="267">
        <f t="shared" si="63"/>
        <v>0</v>
      </c>
      <c r="BM41" s="268">
        <f t="shared" si="25"/>
        <v>0</v>
      </c>
      <c r="BN41" s="249">
        <f t="shared" si="64"/>
        <v>0</v>
      </c>
      <c r="BO41" s="249">
        <f t="shared" si="65"/>
        <v>0</v>
      </c>
      <c r="BP41" s="249">
        <f t="shared" si="66"/>
        <v>0</v>
      </c>
      <c r="BQ41" s="249">
        <f t="shared" si="67"/>
        <v>0</v>
      </c>
      <c r="BU41" s="270">
        <v>0</v>
      </c>
      <c r="BV41" s="270"/>
      <c r="BW41" s="270">
        <v>0</v>
      </c>
      <c r="BX41" s="271">
        <f t="shared" si="80"/>
        <v>0</v>
      </c>
      <c r="BY41" s="250">
        <f t="shared" si="68"/>
        <v>0</v>
      </c>
      <c r="BZ41" s="250">
        <f t="shared" si="69"/>
        <v>0</v>
      </c>
      <c r="CA41" s="250">
        <f t="shared" si="70"/>
        <v>0</v>
      </c>
      <c r="CB41" s="250">
        <f t="shared" si="71"/>
        <v>0</v>
      </c>
      <c r="CF41" s="273">
        <v>0</v>
      </c>
      <c r="CG41" s="273"/>
      <c r="CH41" s="273">
        <v>0</v>
      </c>
      <c r="CI41" s="274">
        <f t="shared" si="81"/>
        <v>0</v>
      </c>
      <c r="CJ41" s="251">
        <f t="shared" si="72"/>
        <v>0</v>
      </c>
      <c r="CK41" s="251">
        <f t="shared" si="73"/>
        <v>0</v>
      </c>
      <c r="CL41" s="251">
        <f t="shared" si="74"/>
        <v>0</v>
      </c>
      <c r="CM41" s="251">
        <f t="shared" si="75"/>
        <v>0</v>
      </c>
    </row>
    <row r="42" spans="1:91">
      <c r="A42" s="149" t="s">
        <v>117</v>
      </c>
      <c r="B42" s="218">
        <v>17.8</v>
      </c>
      <c r="C42" s="218">
        <v>1</v>
      </c>
      <c r="D42" s="218" t="s">
        <v>118</v>
      </c>
      <c r="E42" s="218" t="s">
        <v>57</v>
      </c>
      <c r="F42" s="252">
        <f t="shared" si="1"/>
        <v>93.684210526315795</v>
      </c>
      <c r="G42" s="252">
        <f t="shared" si="42"/>
        <v>0.56210526315789477</v>
      </c>
      <c r="H42" s="276"/>
      <c r="I42" s="255">
        <f>'nutrient content'!B117/100</f>
        <v>0.19</v>
      </c>
      <c r="J42" s="255">
        <f>'nutrient content'!C117/100</f>
        <v>6.0000000000000001E-3</v>
      </c>
      <c r="K42" s="256">
        <f>enviro!AD22</f>
        <v>1.2712094776305219E-3</v>
      </c>
      <c r="L42" s="256">
        <f>enviro!AE22</f>
        <v>2.2446556063453339E-2</v>
      </c>
      <c r="M42" s="256">
        <f>enviro!AF22</f>
        <v>1.4468795669226735</v>
      </c>
      <c r="N42" s="256">
        <f>enviro!AG22</f>
        <v>6.9335677941490697E-4</v>
      </c>
      <c r="O42" s="246" t="s">
        <v>1561</v>
      </c>
      <c r="U42" s="257">
        <f>B42*$U$46</f>
        <v>27.4832</v>
      </c>
      <c r="V42" s="257"/>
      <c r="W42" s="257">
        <f t="shared" si="2"/>
        <v>144.64842105263159</v>
      </c>
      <c r="X42" s="258">
        <f t="shared" si="3"/>
        <v>0.86789052631578956</v>
      </c>
      <c r="Y42" s="219">
        <f t="shared" si="4"/>
        <v>0.18387844376639559</v>
      </c>
      <c r="Z42" s="219">
        <f t="shared" si="5"/>
        <v>3.2468588926478992</v>
      </c>
      <c r="AA42" s="219">
        <f t="shared" si="6"/>
        <v>209.28884480868012</v>
      </c>
      <c r="AB42" s="219">
        <f t="shared" si="7"/>
        <v>0.10029296336850407</v>
      </c>
      <c r="AE42" s="259">
        <f t="shared" si="53"/>
        <v>27.4832</v>
      </c>
      <c r="AF42" s="259"/>
      <c r="AG42" s="259">
        <f t="shared" si="8"/>
        <v>144.64842105263159</v>
      </c>
      <c r="AH42" s="260">
        <f t="shared" si="9"/>
        <v>0.86789052631578956</v>
      </c>
      <c r="AI42" s="247">
        <f t="shared" si="10"/>
        <v>0.18387844376639559</v>
      </c>
      <c r="AJ42" s="247">
        <f t="shared" si="11"/>
        <v>3.2468588926478992</v>
      </c>
      <c r="AK42" s="247">
        <f t="shared" si="12"/>
        <v>209.28884480868012</v>
      </c>
      <c r="AL42" s="247">
        <f t="shared" si="13"/>
        <v>0.10029296336850407</v>
      </c>
      <c r="AO42" s="261">
        <v>0</v>
      </c>
      <c r="AP42" s="261"/>
      <c r="AQ42" s="261">
        <f t="shared" si="61"/>
        <v>0</v>
      </c>
      <c r="AR42" s="262">
        <v>0</v>
      </c>
      <c r="AS42" s="220">
        <f t="shared" si="54"/>
        <v>0</v>
      </c>
      <c r="AT42" s="220">
        <f t="shared" si="55"/>
        <v>0</v>
      </c>
      <c r="AU42" s="220">
        <f t="shared" si="56"/>
        <v>0</v>
      </c>
      <c r="AV42" s="220">
        <f t="shared" si="57"/>
        <v>0</v>
      </c>
      <c r="AY42" s="264">
        <v>0</v>
      </c>
      <c r="AZ42" s="264"/>
      <c r="BA42" s="264">
        <f t="shared" si="62"/>
        <v>0</v>
      </c>
      <c r="BB42" s="265">
        <v>0</v>
      </c>
      <c r="BC42" s="248">
        <f t="shared" si="43"/>
        <v>0</v>
      </c>
      <c r="BD42" s="248">
        <f t="shared" si="22"/>
        <v>0</v>
      </c>
      <c r="BE42" s="248">
        <f t="shared" si="44"/>
        <v>0</v>
      </c>
      <c r="BF42" s="248">
        <f t="shared" si="23"/>
        <v>0</v>
      </c>
      <c r="BJ42" s="267">
        <v>0</v>
      </c>
      <c r="BK42" s="267"/>
      <c r="BL42" s="267">
        <f t="shared" si="63"/>
        <v>0</v>
      </c>
      <c r="BM42" s="268">
        <f t="shared" si="25"/>
        <v>0</v>
      </c>
      <c r="BN42" s="249">
        <f t="shared" si="64"/>
        <v>0</v>
      </c>
      <c r="BO42" s="249">
        <f t="shared" si="65"/>
        <v>0</v>
      </c>
      <c r="BP42" s="249">
        <f t="shared" si="66"/>
        <v>0</v>
      </c>
      <c r="BQ42" s="249">
        <f t="shared" si="67"/>
        <v>0</v>
      </c>
      <c r="BU42" s="270">
        <v>0</v>
      </c>
      <c r="BV42" s="270"/>
      <c r="BW42" s="270">
        <v>0</v>
      </c>
      <c r="BX42" s="271">
        <f t="shared" si="80"/>
        <v>0</v>
      </c>
      <c r="BY42" s="250">
        <f t="shared" si="68"/>
        <v>0</v>
      </c>
      <c r="BZ42" s="250">
        <f t="shared" si="69"/>
        <v>0</v>
      </c>
      <c r="CA42" s="250">
        <f t="shared" si="70"/>
        <v>0</v>
      </c>
      <c r="CB42" s="250">
        <f t="shared" si="71"/>
        <v>0</v>
      </c>
      <c r="CF42" s="273">
        <v>0</v>
      </c>
      <c r="CG42" s="273"/>
      <c r="CH42" s="273">
        <v>0</v>
      </c>
      <c r="CI42" s="274">
        <f t="shared" si="81"/>
        <v>0</v>
      </c>
      <c r="CJ42" s="251">
        <f t="shared" si="72"/>
        <v>0</v>
      </c>
      <c r="CK42" s="251">
        <f t="shared" si="73"/>
        <v>0</v>
      </c>
      <c r="CL42" s="251">
        <f t="shared" si="74"/>
        <v>0</v>
      </c>
      <c r="CM42" s="251">
        <f t="shared" si="75"/>
        <v>0</v>
      </c>
    </row>
    <row r="43" spans="1:91">
      <c r="A43" s="150" t="s">
        <v>1020</v>
      </c>
      <c r="B43" s="218">
        <v>65.5</v>
      </c>
      <c r="C43" s="218">
        <v>2.9</v>
      </c>
      <c r="D43" s="218" t="s">
        <v>119</v>
      </c>
      <c r="E43" s="218" t="s">
        <v>91</v>
      </c>
      <c r="F43" s="252">
        <f t="shared" si="1"/>
        <v>23.886401364756519</v>
      </c>
      <c r="G43" s="252">
        <f t="shared" si="42"/>
        <v>1.738551124063356</v>
      </c>
      <c r="H43" s="253"/>
      <c r="I43" s="279">
        <f>AVERAGE(I26:I42)</f>
        <v>2.7421460018101667</v>
      </c>
      <c r="J43" s="279">
        <f>AVERAGE(J26:J42)</f>
        <v>7.2784137615158825E-2</v>
      </c>
      <c r="K43" s="256">
        <f>AVERAGE(K26:K42)</f>
        <v>2.7886978517271042E-2</v>
      </c>
      <c r="L43" s="256">
        <f t="shared" ref="L43:N43" si="82">AVERAGE(L26:L42)</f>
        <v>0.12438457303053052</v>
      </c>
      <c r="M43" s="256">
        <f t="shared" si="82"/>
        <v>3.9937234738200988</v>
      </c>
      <c r="N43" s="256">
        <f t="shared" si="82"/>
        <v>2.8641286632828107E-3</v>
      </c>
      <c r="O43" s="246" t="s">
        <v>1565</v>
      </c>
      <c r="U43" s="257">
        <f>B43</f>
        <v>65.5</v>
      </c>
      <c r="V43" s="257"/>
      <c r="W43" s="257">
        <f t="shared" si="2"/>
        <v>23.886401364756519</v>
      </c>
      <c r="X43" s="258">
        <f t="shared" si="3"/>
        <v>1.738551124063356</v>
      </c>
      <c r="Y43" s="219">
        <f t="shared" si="4"/>
        <v>0.66611956171387876</v>
      </c>
      <c r="Z43" s="219">
        <f t="shared" si="5"/>
        <v>2.9710998349911213</v>
      </c>
      <c r="AA43" s="219">
        <f t="shared" si="6"/>
        <v>95.395681835516555</v>
      </c>
      <c r="AB43" s="219">
        <f t="shared" si="7"/>
        <v>6.8413726811476797E-2</v>
      </c>
      <c r="AE43" s="259">
        <f t="shared" si="53"/>
        <v>65.5</v>
      </c>
      <c r="AF43" s="259"/>
      <c r="AG43" s="259">
        <f t="shared" si="8"/>
        <v>23.886401364756519</v>
      </c>
      <c r="AH43" s="260">
        <f t="shared" si="9"/>
        <v>1.738551124063356</v>
      </c>
      <c r="AI43" s="247">
        <f t="shared" si="10"/>
        <v>0.66611956171387876</v>
      </c>
      <c r="AJ43" s="247">
        <f t="shared" si="11"/>
        <v>2.9710998349911213</v>
      </c>
      <c r="AK43" s="247">
        <f t="shared" si="12"/>
        <v>95.395681835516555</v>
      </c>
      <c r="AL43" s="247">
        <f t="shared" si="13"/>
        <v>6.8413726811476797E-2</v>
      </c>
      <c r="AO43" s="261">
        <v>0</v>
      </c>
      <c r="AP43" s="261"/>
      <c r="AQ43" s="261">
        <f t="shared" si="61"/>
        <v>0</v>
      </c>
      <c r="AR43" s="262">
        <v>0</v>
      </c>
      <c r="AS43" s="220">
        <f t="shared" si="54"/>
        <v>0</v>
      </c>
      <c r="AT43" s="220">
        <f t="shared" si="55"/>
        <v>0</v>
      </c>
      <c r="AU43" s="220">
        <f t="shared" si="56"/>
        <v>0</v>
      </c>
      <c r="AV43" s="220">
        <f t="shared" si="57"/>
        <v>0</v>
      </c>
      <c r="AY43" s="264">
        <v>0</v>
      </c>
      <c r="AZ43" s="264"/>
      <c r="BA43" s="264">
        <f t="shared" si="62"/>
        <v>0</v>
      </c>
      <c r="BB43" s="265">
        <v>0</v>
      </c>
      <c r="BC43" s="248">
        <f t="shared" si="43"/>
        <v>0</v>
      </c>
      <c r="BD43" s="248">
        <f t="shared" si="22"/>
        <v>0</v>
      </c>
      <c r="BE43" s="248">
        <f t="shared" si="44"/>
        <v>0</v>
      </c>
      <c r="BF43" s="248">
        <f t="shared" si="23"/>
        <v>0</v>
      </c>
      <c r="BJ43" s="267">
        <v>0</v>
      </c>
      <c r="BK43" s="267"/>
      <c r="BL43" s="267">
        <f t="shared" si="63"/>
        <v>0</v>
      </c>
      <c r="BM43" s="268">
        <f t="shared" si="25"/>
        <v>0</v>
      </c>
      <c r="BN43" s="249">
        <f t="shared" si="64"/>
        <v>0</v>
      </c>
      <c r="BO43" s="249">
        <f t="shared" si="65"/>
        <v>0</v>
      </c>
      <c r="BP43" s="249">
        <f t="shared" si="66"/>
        <v>0</v>
      </c>
      <c r="BQ43" s="249">
        <f t="shared" si="67"/>
        <v>0</v>
      </c>
      <c r="BU43" s="270">
        <v>0</v>
      </c>
      <c r="BV43" s="270"/>
      <c r="BW43" s="270">
        <v>0</v>
      </c>
      <c r="BX43" s="271">
        <f t="shared" si="80"/>
        <v>0</v>
      </c>
      <c r="BY43" s="250">
        <f t="shared" si="68"/>
        <v>0</v>
      </c>
      <c r="BZ43" s="250">
        <f t="shared" si="69"/>
        <v>0</v>
      </c>
      <c r="CA43" s="250">
        <f t="shared" si="70"/>
        <v>0</v>
      </c>
      <c r="CB43" s="250">
        <f t="shared" si="71"/>
        <v>0</v>
      </c>
      <c r="CF43" s="273">
        <v>0</v>
      </c>
      <c r="CG43" s="273"/>
      <c r="CH43" s="273">
        <v>0</v>
      </c>
      <c r="CI43" s="274">
        <f t="shared" si="81"/>
        <v>0</v>
      </c>
      <c r="CJ43" s="251">
        <f t="shared" si="72"/>
        <v>0</v>
      </c>
      <c r="CK43" s="251">
        <f t="shared" si="73"/>
        <v>0</v>
      </c>
      <c r="CL43" s="251">
        <f t="shared" si="74"/>
        <v>0</v>
      </c>
      <c r="CM43" s="251">
        <f t="shared" si="75"/>
        <v>0</v>
      </c>
    </row>
    <row r="44" spans="1:91">
      <c r="A44" s="150" t="s">
        <v>1021</v>
      </c>
      <c r="B44" s="218" t="s">
        <v>120</v>
      </c>
      <c r="C44" s="218" t="s">
        <v>120</v>
      </c>
      <c r="D44" s="218" t="s">
        <v>121</v>
      </c>
      <c r="E44" s="218" t="s">
        <v>39</v>
      </c>
      <c r="F44" s="218"/>
      <c r="G44" s="218"/>
      <c r="I44" s="245"/>
      <c r="J44" s="245"/>
      <c r="K44" s="245"/>
      <c r="L44" s="245"/>
      <c r="M44" s="245"/>
      <c r="N44" s="245"/>
      <c r="U44" s="257"/>
      <c r="V44" s="257"/>
      <c r="W44" s="219"/>
      <c r="X44" s="219"/>
      <c r="Y44" s="219"/>
      <c r="Z44" s="219"/>
      <c r="AA44" s="219"/>
      <c r="AB44" s="219"/>
      <c r="AE44" s="259"/>
      <c r="AF44" s="259"/>
      <c r="AG44" s="247"/>
      <c r="AH44" s="247"/>
      <c r="AI44" s="247"/>
      <c r="AJ44" s="247"/>
      <c r="AK44" s="247"/>
      <c r="AL44" s="247"/>
      <c r="AO44" s="261"/>
      <c r="AP44" s="261"/>
      <c r="AQ44" s="220"/>
      <c r="AR44" s="220"/>
      <c r="AS44" s="220"/>
      <c r="AT44" s="220"/>
      <c r="AU44" s="220"/>
      <c r="AV44" s="220"/>
      <c r="AY44" s="264"/>
      <c r="AZ44" s="264"/>
      <c r="BA44" s="248"/>
      <c r="BB44" s="248"/>
      <c r="BC44" s="248"/>
      <c r="BD44" s="248"/>
      <c r="BE44" s="248"/>
      <c r="BF44" s="248"/>
      <c r="BJ44" s="267">
        <v>0</v>
      </c>
      <c r="BK44" s="267"/>
      <c r="BL44" s="249"/>
      <c r="BM44" s="249"/>
      <c r="BN44" s="249"/>
      <c r="BO44" s="249"/>
      <c r="BP44" s="249"/>
      <c r="BQ44" s="249"/>
      <c r="BU44" s="270">
        <v>0</v>
      </c>
      <c r="BV44" s="270"/>
      <c r="BW44" s="250">
        <v>0</v>
      </c>
      <c r="BX44" s="250"/>
      <c r="BY44" s="250">
        <f t="shared" si="68"/>
        <v>0</v>
      </c>
      <c r="BZ44" s="250"/>
      <c r="CA44" s="250"/>
      <c r="CB44" s="250"/>
      <c r="CF44" s="273">
        <v>0</v>
      </c>
      <c r="CG44" s="273"/>
      <c r="CH44" s="251"/>
      <c r="CI44" s="251"/>
      <c r="CJ44" s="251"/>
      <c r="CK44" s="251"/>
      <c r="CL44" s="251"/>
      <c r="CM44" s="251"/>
    </row>
    <row r="45" spans="1:91">
      <c r="A45" s="148" t="s">
        <v>122</v>
      </c>
      <c r="B45" s="218">
        <v>2085.1999999999998</v>
      </c>
      <c r="C45" s="218">
        <f>SUM(C25,C20,C15,C3)</f>
        <v>100</v>
      </c>
      <c r="D45" s="218" t="s">
        <v>123</v>
      </c>
      <c r="E45" s="218">
        <v>100</v>
      </c>
      <c r="F45" s="252">
        <f>SUM(F4:F43)</f>
        <v>1259.1133236948986</v>
      </c>
      <c r="G45" s="252">
        <f>SUM(G4:G43)</f>
        <v>98.128577186065542</v>
      </c>
      <c r="H45" s="253"/>
      <c r="I45" s="280"/>
      <c r="J45" s="280"/>
      <c r="K45" s="245"/>
      <c r="L45" s="245"/>
      <c r="M45" s="245"/>
      <c r="N45" s="245"/>
      <c r="U45" s="182">
        <f>SUM(U4:U43)</f>
        <v>2500.3896000000004</v>
      </c>
      <c r="V45" s="182"/>
      <c r="W45" s="182">
        <f>SUM(W4:W43)</f>
        <v>1574.069234535322</v>
      </c>
      <c r="X45" s="182">
        <f>SUM(X4:X43)</f>
        <v>105.88118154726627</v>
      </c>
      <c r="Y45" s="182">
        <f t="shared" ref="Y45:AB45" si="83">SUM(Y4:Y43)</f>
        <v>44.487818151719253</v>
      </c>
      <c r="Z45" s="182">
        <f t="shared" si="83"/>
        <v>133.51590077491383</v>
      </c>
      <c r="AA45" s="182">
        <f t="shared" si="83"/>
        <v>5164.3347150504051</v>
      </c>
      <c r="AB45" s="182">
        <f t="shared" si="83"/>
        <v>4.4393804889784585</v>
      </c>
      <c r="AE45" s="198">
        <f>SUM(AE4:AE43)</f>
        <v>1636.7655999999999</v>
      </c>
      <c r="AF45" s="198"/>
      <c r="AG45" s="198">
        <f>SUM(AG4:AG43)</f>
        <v>1080.3398395469374</v>
      </c>
      <c r="AH45" s="198">
        <f>SUM(AH4:AH43)</f>
        <v>50.996616966708991</v>
      </c>
      <c r="AI45" s="198">
        <f t="shared" ref="AI45:AL45" si="84">SUM(AI4:AI43)</f>
        <v>17.911651698580673</v>
      </c>
      <c r="AJ45" s="198">
        <f t="shared" si="84"/>
        <v>76.926135755955656</v>
      </c>
      <c r="AK45" s="198">
        <f t="shared" si="84"/>
        <v>2706.2674722888032</v>
      </c>
      <c r="AL45" s="198">
        <f t="shared" si="84"/>
        <v>2.0482597624503298</v>
      </c>
      <c r="AO45" s="203">
        <f>SUM(AO4:AO43)</f>
        <v>2499.6447058832632</v>
      </c>
      <c r="AP45" s="203"/>
      <c r="AQ45" s="203">
        <f>SUM(AQ4:AQ43)</f>
        <v>791.60544646319443</v>
      </c>
      <c r="AR45" s="203">
        <f>SUM(AR4:AR43)</f>
        <v>67.285004777165909</v>
      </c>
      <c r="AS45" s="203">
        <f t="shared" ref="AS45:AU45" si="85">SUM(AS4:AS43)</f>
        <v>34.455161282965115</v>
      </c>
      <c r="AT45" s="203">
        <f>SUM(AT4:AT43)</f>
        <v>130.7786345336618</v>
      </c>
      <c r="AU45" s="203">
        <f t="shared" si="85"/>
        <v>3732.314810625372</v>
      </c>
      <c r="AV45" s="203">
        <f>SUM(AV4:AV43)</f>
        <v>3.4338510930474948</v>
      </c>
      <c r="AY45" s="207">
        <f>SUM(AY4:AY43)</f>
        <v>2499.6957642603857</v>
      </c>
      <c r="AZ45" s="207"/>
      <c r="BA45" s="207">
        <f>SUM(BA4:BA43)</f>
        <v>903.00226057422447</v>
      </c>
      <c r="BB45" s="207">
        <f>SUM(BB4:BB43)</f>
        <v>100.84518830094257</v>
      </c>
      <c r="BC45" s="207">
        <f t="shared" ref="BC45:BE45" si="86">SUM(BC4:BC43)</f>
        <v>45.605542818436774</v>
      </c>
      <c r="BD45" s="207">
        <f t="shared" si="86"/>
        <v>136.17874697505803</v>
      </c>
      <c r="BE45" s="207">
        <f t="shared" si="86"/>
        <v>4159.6464272961666</v>
      </c>
      <c r="BF45" s="207">
        <f>SUM(BF4:BF43)</f>
        <v>4.3271752906758492</v>
      </c>
      <c r="BJ45" s="212">
        <f>SUM(BJ4:BJ44)</f>
        <v>2499.516060583017</v>
      </c>
      <c r="BK45" s="212"/>
      <c r="BL45" s="212">
        <f>SUM(BL4:BL43)</f>
        <v>1024.6983315041562</v>
      </c>
      <c r="BM45" s="212">
        <f>SUM(BM4:BM43)</f>
        <v>134.26708806627164</v>
      </c>
      <c r="BN45" s="212">
        <f t="shared" ref="BN45:BP45" si="87">SUM(BN4:BN43)</f>
        <v>58.651121661834424</v>
      </c>
      <c r="BO45" s="212">
        <f t="shared" si="87"/>
        <v>143.79535470721032</v>
      </c>
      <c r="BP45" s="212">
        <f t="shared" si="87"/>
        <v>4824.5304606948994</v>
      </c>
      <c r="BQ45" s="212">
        <f>SUM(BQ4:BQ43)</f>
        <v>5.3948615712267358</v>
      </c>
      <c r="BU45" s="194">
        <f>SUM(BU4:BU44)</f>
        <v>2499.6400527792202</v>
      </c>
      <c r="BV45" s="194"/>
      <c r="BW45" s="194">
        <v>0</v>
      </c>
      <c r="BX45" s="194">
        <f>SUM(BX4:BX43)</f>
        <v>134.37530603776761</v>
      </c>
      <c r="BY45" s="194">
        <f>SUM(BY4:BY44)</f>
        <v>45.473133668316734</v>
      </c>
      <c r="BZ45" s="194">
        <f t="shared" ref="BZ45:CA45" si="88">SUM(BZ4:BZ43)</f>
        <v>120.22886219754255</v>
      </c>
      <c r="CA45" s="194">
        <f t="shared" si="88"/>
        <v>3877.1383733464845</v>
      </c>
      <c r="CB45" s="194">
        <f>SUM(CB4:CB43)</f>
        <v>4.10350505484947</v>
      </c>
      <c r="CF45" s="217">
        <f>SUM(CF4:CF44)</f>
        <v>2500.187619501251</v>
      </c>
      <c r="CG45" s="217"/>
      <c r="CH45" s="217">
        <f>SUM(CH4:CH43)</f>
        <v>879.25960775047099</v>
      </c>
      <c r="CI45" s="217">
        <f>SUM(CI4:CI43)</f>
        <v>134.21656241614866</v>
      </c>
      <c r="CJ45" s="217">
        <f t="shared" ref="CJ45:CL45" si="89">SUM(CJ4:CJ43)</f>
        <v>58.080130888201751</v>
      </c>
      <c r="CK45" s="217">
        <f t="shared" si="89"/>
        <v>144.52336927190524</v>
      </c>
      <c r="CL45" s="217">
        <f t="shared" si="89"/>
        <v>4485.9459514959235</v>
      </c>
      <c r="CM45" s="217">
        <f>SUM(CM4:CM43)</f>
        <v>5.4393462467837699</v>
      </c>
    </row>
    <row r="46" spans="1:91">
      <c r="T46" s="347" t="s">
        <v>1669</v>
      </c>
      <c r="U46" s="219">
        <f>1.544</f>
        <v>1.544</v>
      </c>
      <c r="V46" s="219"/>
      <c r="W46" s="219"/>
      <c r="X46" s="219"/>
      <c r="Y46" s="219"/>
      <c r="Z46" s="219"/>
      <c r="AA46" s="219"/>
      <c r="AB46" s="219"/>
      <c r="AE46" s="247"/>
      <c r="AF46" s="247"/>
      <c r="AG46" s="247"/>
      <c r="AH46" s="247"/>
      <c r="AI46" s="247"/>
      <c r="AJ46" s="247"/>
      <c r="AK46" s="247"/>
      <c r="AL46" s="247"/>
      <c r="AO46" s="261"/>
      <c r="AP46" s="220"/>
      <c r="AQ46" s="220"/>
      <c r="AR46" s="220"/>
      <c r="AS46" s="220"/>
      <c r="AT46" s="220"/>
      <c r="AU46" s="220"/>
      <c r="AV46" s="220"/>
      <c r="AY46" s="264"/>
      <c r="AZ46" s="248"/>
      <c r="BA46" s="248"/>
      <c r="BB46" s="248"/>
      <c r="BC46" s="248"/>
      <c r="BD46" s="248"/>
      <c r="BE46" s="248"/>
      <c r="BF46" s="248"/>
      <c r="BI46" t="s">
        <v>1583</v>
      </c>
      <c r="BJ46" s="267">
        <v>4.26</v>
      </c>
      <c r="BK46" s="249"/>
      <c r="BL46" s="249"/>
      <c r="BM46" s="249"/>
      <c r="BN46" s="249"/>
      <c r="BO46" s="249"/>
      <c r="BP46" s="249"/>
      <c r="BQ46" s="249"/>
      <c r="BT46" t="s">
        <v>1583</v>
      </c>
      <c r="BU46" s="270"/>
      <c r="BV46" s="250"/>
      <c r="BW46" s="250"/>
      <c r="BX46" s="250"/>
      <c r="BY46" s="250"/>
      <c r="BZ46" s="250"/>
      <c r="CA46" s="250"/>
      <c r="CB46" s="250"/>
      <c r="CE46" t="s">
        <v>1583</v>
      </c>
      <c r="CF46" s="273">
        <v>4.26</v>
      </c>
      <c r="CG46" s="251"/>
      <c r="CH46" s="251"/>
      <c r="CI46" s="251"/>
      <c r="CJ46" s="251"/>
      <c r="CK46" s="251"/>
      <c r="CL46" s="251"/>
      <c r="CM46" s="251"/>
    </row>
    <row r="47" spans="1:91">
      <c r="U47" s="219"/>
      <c r="V47" s="219"/>
      <c r="W47" s="219" t="s">
        <v>1582</v>
      </c>
      <c r="X47" s="219"/>
      <c r="Y47" s="219">
        <f t="shared" ref="Y47:Z47" si="90">Y45*365</f>
        <v>16238.053625377528</v>
      </c>
      <c r="Z47" s="219">
        <f t="shared" si="90"/>
        <v>48733.303782843548</v>
      </c>
      <c r="AA47" s="219">
        <f>AA45*365</f>
        <v>1884982.1709933979</v>
      </c>
      <c r="AB47" s="219">
        <f>AB45*365</f>
        <v>1620.3738784771374</v>
      </c>
      <c r="AE47" s="247"/>
      <c r="AF47" s="247"/>
      <c r="AG47" s="247" t="s">
        <v>1582</v>
      </c>
      <c r="AH47" s="247"/>
      <c r="AI47" s="247">
        <f>AI45*365</f>
        <v>6537.7528699819459</v>
      </c>
      <c r="AJ47" s="247">
        <f>AJ45*365</f>
        <v>28078.039550923815</v>
      </c>
      <c r="AK47" s="247">
        <f>AK45*365</f>
        <v>987787.62738541316</v>
      </c>
      <c r="AL47" s="247">
        <f>AL45*365</f>
        <v>747.61481329437038</v>
      </c>
      <c r="AO47" s="220"/>
      <c r="AP47" s="220"/>
      <c r="AQ47" s="220" t="s">
        <v>1582</v>
      </c>
      <c r="AR47" s="220"/>
      <c r="AS47" s="220">
        <f>AS45*365</f>
        <v>12576.133868282266</v>
      </c>
      <c r="AT47" s="220">
        <f>AT45*365</f>
        <v>47734.201604786555</v>
      </c>
      <c r="AU47" s="220">
        <f>AU45*365</f>
        <v>1362294.9058782607</v>
      </c>
      <c r="AV47" s="220">
        <f>AV45*365</f>
        <v>1253.3556489623356</v>
      </c>
      <c r="AY47" s="248"/>
      <c r="AZ47" s="248"/>
      <c r="BA47" s="248" t="s">
        <v>1582</v>
      </c>
      <c r="BB47" s="248"/>
      <c r="BC47" s="248">
        <f>BC45*365</f>
        <v>16646.023128729423</v>
      </c>
      <c r="BD47" s="248">
        <f>BD45*365</f>
        <v>49705.242645896185</v>
      </c>
      <c r="BE47" s="248">
        <f>BE45*365</f>
        <v>1518270.9459631008</v>
      </c>
      <c r="BF47" s="248">
        <f>BF45*365</f>
        <v>1579.418981096685</v>
      </c>
      <c r="BJ47" s="249"/>
      <c r="BK47" s="249"/>
      <c r="BL47" s="249" t="s">
        <v>1582</v>
      </c>
      <c r="BM47" s="249"/>
      <c r="BN47" s="249">
        <f>BN45*365</f>
        <v>21407.659406569564</v>
      </c>
      <c r="BO47" s="249">
        <f>BO45*365</f>
        <v>52485.30446813177</v>
      </c>
      <c r="BP47" s="249">
        <f>BP45*365</f>
        <v>1760953.6181536382</v>
      </c>
      <c r="BQ47" s="249">
        <f>BQ45*365</f>
        <v>1969.1244734977586</v>
      </c>
      <c r="BU47" s="250"/>
      <c r="BV47" s="250"/>
      <c r="BW47" s="250" t="s">
        <v>1582</v>
      </c>
      <c r="BX47" s="250"/>
      <c r="BY47" s="250">
        <f>BY45*365</f>
        <v>16597.693788935609</v>
      </c>
      <c r="BZ47" s="250">
        <f>BZ45*365</f>
        <v>43883.534702103032</v>
      </c>
      <c r="CA47" s="250">
        <f>CA45*365</f>
        <v>1415155.5062714668</v>
      </c>
      <c r="CB47" s="250">
        <f>CB45*365</f>
        <v>1497.7793450200566</v>
      </c>
      <c r="CF47" s="251"/>
      <c r="CG47" s="251"/>
      <c r="CH47" s="251" t="s">
        <v>1582</v>
      </c>
      <c r="CI47" s="251"/>
      <c r="CJ47" s="251">
        <f>CJ45*365</f>
        <v>21199.247774193638</v>
      </c>
      <c r="CK47" s="251">
        <f>CK45*365</f>
        <v>52751.029784245409</v>
      </c>
      <c r="CL47" s="251">
        <f>CL45*365</f>
        <v>1637370.2722960121</v>
      </c>
      <c r="CM47" s="251">
        <f>CM45*365</f>
        <v>1985.3613800760761</v>
      </c>
    </row>
    <row r="48" spans="1:91">
      <c r="A48" t="s">
        <v>1606</v>
      </c>
      <c r="U48" s="219"/>
      <c r="V48" s="219"/>
      <c r="W48" s="219"/>
      <c r="X48" s="219"/>
      <c r="Y48" s="219"/>
      <c r="Z48" s="219"/>
      <c r="AA48" s="219"/>
      <c r="AB48" s="219"/>
      <c r="AE48" s="247">
        <f>AE45/U45</f>
        <v>0.65460422647734562</v>
      </c>
      <c r="AF48" s="247"/>
      <c r="AG48" s="247"/>
      <c r="AH48" s="247"/>
      <c r="AI48" s="247"/>
      <c r="AJ48" s="247"/>
      <c r="AK48" s="247"/>
      <c r="AL48" s="247"/>
      <c r="AN48" s="281"/>
      <c r="AO48" s="262"/>
      <c r="AP48" s="220"/>
      <c r="AQ48" s="220"/>
      <c r="AR48" s="220"/>
      <c r="AS48" s="220"/>
      <c r="AT48" s="220"/>
      <c r="AU48" s="220"/>
      <c r="AV48" s="220"/>
      <c r="AX48" t="s">
        <v>1587</v>
      </c>
      <c r="AY48" s="265">
        <f>SUM(AH5,AH6,AH7,AH8,AH9,AH10,AH11,AH18,AH21,AH13,AH23)</f>
        <v>0</v>
      </c>
      <c r="AZ48" s="248"/>
      <c r="BA48" s="248"/>
      <c r="BB48" s="248"/>
      <c r="BC48" s="248"/>
      <c r="BD48" s="248"/>
      <c r="BE48" s="248"/>
      <c r="BF48" s="248"/>
      <c r="BI48" t="s">
        <v>1584</v>
      </c>
      <c r="BJ48" s="268">
        <f>SUM(AH5,AH7,AH8,AH10,AH13,AH23)</f>
        <v>0</v>
      </c>
      <c r="BK48" s="249"/>
      <c r="BL48" s="249"/>
      <c r="BM48" s="249"/>
      <c r="BN48" s="249"/>
      <c r="BO48" s="249"/>
      <c r="BP48" s="249"/>
      <c r="BQ48" s="249"/>
      <c r="BT48" t="s">
        <v>1584</v>
      </c>
      <c r="BU48" s="271">
        <f>SUM(AS5,AS7,AS8,AS10,AS13,AS23)</f>
        <v>0.61883501190776791</v>
      </c>
      <c r="BV48" s="250"/>
      <c r="BW48" s="250"/>
      <c r="BX48" s="250"/>
      <c r="BY48" s="250"/>
      <c r="BZ48" s="250"/>
      <c r="CA48" s="250"/>
      <c r="CB48" s="250"/>
      <c r="CE48" t="s">
        <v>1584</v>
      </c>
      <c r="CF48" s="274">
        <f>SUM(BD5,BD7,BD8,BD10,BD13,BD23)</f>
        <v>14.548978490547338</v>
      </c>
      <c r="CG48" s="251"/>
      <c r="CH48" s="251"/>
      <c r="CI48" s="251"/>
      <c r="CJ48" s="251"/>
      <c r="CK48" s="251"/>
      <c r="CL48" s="251"/>
      <c r="CM48" s="251"/>
    </row>
    <row r="49" spans="1:91">
      <c r="A49" s="177" t="s">
        <v>1016</v>
      </c>
      <c r="U49" s="219"/>
      <c r="V49" s="219" t="s">
        <v>1670</v>
      </c>
      <c r="W49" s="219">
        <f>X45/84</f>
        <v>1.2604902565150746</v>
      </c>
      <c r="X49" s="219"/>
      <c r="Y49" s="219"/>
      <c r="Z49" s="219"/>
      <c r="AA49" s="219"/>
      <c r="AB49" s="219"/>
      <c r="AE49" s="247"/>
      <c r="AF49" s="247"/>
      <c r="AG49" s="247"/>
      <c r="AH49" s="247"/>
      <c r="AI49" s="247"/>
      <c r="AJ49" s="247"/>
      <c r="AK49" s="247"/>
      <c r="AL49" s="247"/>
      <c r="AO49" s="262"/>
      <c r="AP49" s="220"/>
      <c r="AQ49" s="220"/>
      <c r="AR49" s="220"/>
      <c r="AS49" s="220"/>
      <c r="AT49" s="220"/>
      <c r="AU49" s="220"/>
      <c r="AV49" s="220"/>
      <c r="AX49" t="s">
        <v>1588</v>
      </c>
      <c r="AY49" s="265">
        <f>SUM(AH4,AH12,AH14,AH22,AH24)</f>
        <v>0</v>
      </c>
      <c r="AZ49" s="248"/>
      <c r="BA49" s="248"/>
      <c r="BB49" s="248"/>
      <c r="BC49" s="248"/>
      <c r="BD49" s="248"/>
      <c r="BE49" s="248"/>
      <c r="BF49" s="248"/>
      <c r="BI49" t="s">
        <v>1547</v>
      </c>
      <c r="BJ49" s="268">
        <f>SUM(AH4,AH6,AH9,AH11,AH12,AH14,AH21,AH22,AH24)</f>
        <v>0</v>
      </c>
      <c r="BK49" s="249"/>
      <c r="BL49" s="249"/>
      <c r="BM49" s="249"/>
      <c r="BN49" s="249"/>
      <c r="BO49" s="249"/>
      <c r="BP49" s="249"/>
      <c r="BQ49" s="249"/>
      <c r="BT49" t="s">
        <v>1547</v>
      </c>
      <c r="BU49" s="271">
        <f>SUM(AS4,AS6,AS9,AS11,AS12,AS14,AS21,AS22,AS24)</f>
        <v>29.917611538535134</v>
      </c>
      <c r="BV49" s="250"/>
      <c r="BW49" s="250"/>
      <c r="BX49" s="250"/>
      <c r="BY49" s="250"/>
      <c r="BZ49" s="250"/>
      <c r="CA49" s="250"/>
      <c r="CB49" s="250"/>
      <c r="CE49" t="s">
        <v>1547</v>
      </c>
      <c r="CF49" s="274">
        <f>SUM(BD4,BD6,BD9,BD11,BD12,BD14,BD21,BD22,BD24)</f>
        <v>71.132020926174249</v>
      </c>
      <c r="CG49" s="251"/>
      <c r="CH49" s="251"/>
      <c r="CI49" s="251"/>
      <c r="CJ49" s="251"/>
      <c r="CK49" s="251"/>
      <c r="CL49" s="251"/>
      <c r="CM49" s="251"/>
    </row>
    <row r="50" spans="1:91">
      <c r="U50" s="219"/>
      <c r="V50" s="219"/>
      <c r="W50" s="219"/>
      <c r="X50" s="219"/>
      <c r="Y50" s="219"/>
      <c r="Z50" s="219"/>
      <c r="AA50" s="219"/>
      <c r="AB50" s="219"/>
      <c r="AE50" s="247"/>
      <c r="AF50" s="247"/>
      <c r="AG50" s="199"/>
      <c r="AH50" s="247"/>
      <c r="AI50" s="247"/>
      <c r="AJ50" s="247"/>
      <c r="AK50" s="247"/>
      <c r="AL50" s="247"/>
      <c r="AO50" s="278"/>
      <c r="AP50" s="220"/>
      <c r="AQ50" s="220"/>
      <c r="AR50" s="220"/>
      <c r="AS50" s="220"/>
      <c r="AT50" s="220"/>
      <c r="AU50" s="220"/>
      <c r="AV50" s="220"/>
      <c r="AX50" t="s">
        <v>1585</v>
      </c>
      <c r="AY50" s="282">
        <f>X45</f>
        <v>105.88118154726627</v>
      </c>
      <c r="AZ50" s="248"/>
      <c r="BA50" s="248"/>
      <c r="BB50" s="248"/>
      <c r="BC50" s="248"/>
      <c r="BD50" s="248"/>
      <c r="BE50" s="248"/>
      <c r="BF50" s="248"/>
      <c r="BI50" t="s">
        <v>1585</v>
      </c>
      <c r="BJ50" s="283">
        <f>X45*1.3</f>
        <v>137.64553601144615</v>
      </c>
      <c r="BK50" s="249"/>
      <c r="BL50" s="249"/>
      <c r="BM50" s="249"/>
      <c r="BN50" s="249"/>
      <c r="BO50" s="249"/>
      <c r="BP50" s="249"/>
      <c r="BQ50" s="249"/>
      <c r="BT50" t="s">
        <v>1585</v>
      </c>
      <c r="BU50" s="284">
        <f>AI45*1.3</f>
        <v>23.285147208154875</v>
      </c>
      <c r="BV50" s="250"/>
      <c r="BW50" s="250"/>
      <c r="BX50" s="250"/>
      <c r="BY50" s="250"/>
      <c r="BZ50" s="250"/>
      <c r="CA50" s="250"/>
      <c r="CB50" s="250"/>
      <c r="CE50" t="s">
        <v>1585</v>
      </c>
      <c r="CF50" s="285">
        <f>AT45*1.3</f>
        <v>170.01222489376036</v>
      </c>
      <c r="CG50" s="251"/>
      <c r="CH50" s="251"/>
      <c r="CI50" s="251"/>
      <c r="CJ50" s="251"/>
      <c r="CK50" s="251"/>
      <c r="CL50" s="251"/>
      <c r="CM50" s="251"/>
    </row>
    <row r="51" spans="1:91">
      <c r="A51" s="286"/>
    </row>
    <row r="52" spans="1:91">
      <c r="A52" s="286"/>
      <c r="AE52" t="s">
        <v>1671</v>
      </c>
    </row>
    <row r="53" spans="1:91">
      <c r="A53" s="286"/>
      <c r="AD53" t="str">
        <f>A28</f>
        <v> Reconstituted meat or fish products</v>
      </c>
      <c r="AE53" s="350">
        <f>K28</f>
        <v>0.11887541524864581</v>
      </c>
      <c r="AF53" s="350">
        <f t="shared" ref="AF53:AH53" si="91">L28</f>
        <v>0.19783524047213594</v>
      </c>
      <c r="AG53" s="350">
        <f t="shared" si="91"/>
        <v>4.7083998351473939</v>
      </c>
      <c r="AH53" s="350">
        <f t="shared" si="91"/>
        <v>1.2212755059549349E-2</v>
      </c>
      <c r="AI53" s="351">
        <f>($AG28*AE53+$AG30*AE54+$AG32*AE55+$AG36*AE56+$AG38*AE57+$AG41*AE58)*365</f>
        <v>4938.9947285521957</v>
      </c>
      <c r="AJ53" s="351">
        <f>($AG28*AF53+$AG30*AF54+$AG32*AF55+$AG36*AF56+$AG38*AF57+$AG41*AF58)*365</f>
        <v>9299.0232943312694</v>
      </c>
      <c r="AK53" s="351">
        <f>($AG28*AG53+$AG30*AG54+$AG32*AG55+$AG36*AG56+$AG38*AG57+$AG41*AG58)*365</f>
        <v>381531.24319609866</v>
      </c>
      <c r="AL53" s="351">
        <f>($AG28*AH53+$AG30*AH54+$AG32*AH55+$AG36*AH56+$AG38*AH57+$AG41*AH58)*365</f>
        <v>507.17742297225431</v>
      </c>
    </row>
    <row r="54" spans="1:91">
      <c r="A54" s="286"/>
      <c r="AD54" t="str">
        <f>A30</f>
        <v> Frozen and shelf-stable plate meals</v>
      </c>
      <c r="AE54" s="276">
        <f>0.7*AVERAGE(enviro!AD12,enviro!AD18,enviro!AD19)</f>
        <v>8.4516719130446144E-2</v>
      </c>
      <c r="AF54" s="276">
        <f>0.7*AVERAGE(enviro!AE12,enviro!AE18,enviro!AE19)</f>
        <v>0.1715937868809809</v>
      </c>
      <c r="AG54" s="276">
        <f>0.7*AVERAGE(enviro!AF12,enviro!AF18,enviro!AF19)</f>
        <v>3.57032007902147</v>
      </c>
      <c r="AH54" s="276">
        <f>0.7*AVERAGE(enviro!AG12,enviro!AG18,enviro!AG19)</f>
        <v>6.6442805818285452E-3</v>
      </c>
    </row>
    <row r="55" spans="1:91">
      <c r="A55" s="286"/>
      <c r="AD55" t="str">
        <f>A32</f>
        <v> Pizza (ready-to-eat/heat)</v>
      </c>
      <c r="AE55" s="276">
        <f>0.35*enviro!R55</f>
        <v>1.47441E-2</v>
      </c>
      <c r="AF55" s="276">
        <f>0.35*enviro!S55</f>
        <v>4.3350299999999994E-2</v>
      </c>
      <c r="AG55" s="276">
        <f>0.35*enviro!T55</f>
        <v>7.5582499999999992</v>
      </c>
      <c r="AH55" s="276">
        <f>0.35*enviro!U55</f>
        <v>2.7194999999999997E-3</v>
      </c>
    </row>
    <row r="56" spans="1:91">
      <c r="A56" s="287"/>
      <c r="AD56" t="str">
        <f>A36</f>
        <v> Ice cream and ice pops</v>
      </c>
      <c r="AE56" s="276">
        <f>0.165*enviro!R33+0.165*enviro!R44</f>
        <v>1.7780908293838866E-3</v>
      </c>
      <c r="AF56" s="276">
        <f>0.165*enviro!S33+0.165*enviro!S44</f>
        <v>5.2279061374407585E-3</v>
      </c>
      <c r="AG56" s="276">
        <f>0.165*enviro!T33+0.165*enviro!T44</f>
        <v>0.91146000000000016</v>
      </c>
      <c r="AH56" s="276">
        <f>0.165*enviro!U33+0.165*enviro!U44</f>
        <v>3.2796291469194317E-4</v>
      </c>
    </row>
    <row r="57" spans="1:91">
      <c r="A57" s="286"/>
      <c r="AD57" t="str">
        <f>btbl4fn9</f>
        <v> Milk drinks</v>
      </c>
      <c r="AE57" s="350">
        <f>enviro!AD8</f>
        <v>2.0793191137648513E-2</v>
      </c>
      <c r="AF57" s="350">
        <f>enviro!AE8</f>
        <v>6.1135713524352396E-2</v>
      </c>
      <c r="AG57" s="350">
        <f>enviro!AF8</f>
        <v>8.6341785333333316</v>
      </c>
      <c r="AH57" s="350">
        <f>enviro!AG8</f>
        <v>3.8352346564954876E-3</v>
      </c>
    </row>
    <row r="58" spans="1:91">
      <c r="A58" s="286"/>
      <c r="AD58" t="str">
        <f>A41</f>
        <v> Sandwiches and hamburgers on bun (ready-to-eat/heat)</v>
      </c>
      <c r="AE58" s="276">
        <f>AVERAGE(enviro!AD19,enviro!AD18,enviro!AD12)</f>
        <v>0.12073817018635165</v>
      </c>
      <c r="AF58" s="276">
        <f>AVERAGE(enviro!AE19,enviro!AE18,enviro!AE12)</f>
        <v>0.24513398125854416</v>
      </c>
      <c r="AG58" s="276">
        <f>AVERAGE(enviro!AF19,enviro!AF18,enviro!AF12)</f>
        <v>5.1004572557449572</v>
      </c>
      <c r="AH58" s="276">
        <f>AVERAGE(enviro!AG19,enviro!AG18,enviro!AG12)</f>
        <v>9.491829402612206E-3</v>
      </c>
    </row>
    <row r="59" spans="1:91">
      <c r="A59" s="286"/>
    </row>
    <row r="60" spans="1:91">
      <c r="A60" s="286"/>
    </row>
    <row r="61" spans="1:91">
      <c r="A61" s="286"/>
    </row>
    <row r="62" spans="1:91">
      <c r="A62" s="287"/>
    </row>
    <row r="63" spans="1:91">
      <c r="A63" s="286"/>
    </row>
    <row r="64" spans="1:91">
      <c r="A64" s="286"/>
    </row>
    <row r="65" spans="1:1">
      <c r="A65" s="286"/>
    </row>
    <row r="66" spans="1:1">
      <c r="A66" s="287"/>
    </row>
    <row r="67" spans="1:1">
      <c r="A67" s="286"/>
    </row>
    <row r="68" spans="1:1">
      <c r="A68" s="286"/>
    </row>
    <row r="69" spans="1:1">
      <c r="A69" s="286"/>
    </row>
    <row r="70" spans="1:1">
      <c r="A70" s="287"/>
    </row>
    <row r="71" spans="1:1">
      <c r="A71" s="286"/>
    </row>
    <row r="72" spans="1:1">
      <c r="A72" s="286"/>
    </row>
    <row r="73" spans="1:1">
      <c r="A73" s="286"/>
    </row>
    <row r="74" spans="1:1">
      <c r="A74" s="286" t="s">
        <v>1030</v>
      </c>
    </row>
    <row r="75" spans="1:1">
      <c r="A75" s="286">
        <v>13</v>
      </c>
    </row>
    <row r="76" spans="1:1">
      <c r="A76" s="287" t="s">
        <v>1031</v>
      </c>
    </row>
    <row r="77" spans="1:1">
      <c r="A77" s="286" t="s">
        <v>1032</v>
      </c>
    </row>
    <row r="78" spans="1:1">
      <c r="A78" s="286" t="s">
        <v>1033</v>
      </c>
    </row>
  </sheetData>
  <mergeCells count="8">
    <mergeCell ref="BU1:CB1"/>
    <mergeCell ref="CF1:CM1"/>
    <mergeCell ref="I1:N1"/>
    <mergeCell ref="BJ1:BQ1"/>
    <mergeCell ref="AY1:BF1"/>
    <mergeCell ref="V1:AB1"/>
    <mergeCell ref="AP1:AV1"/>
    <mergeCell ref="AE1:AL1"/>
  </mergeCells>
  <conditionalFormatting sqref="K2">
    <cfRule type="cellIs" dxfId="316" priority="204" operator="between">
      <formula>0.30475418</formula>
      <formula>"AQ34"</formula>
    </cfRule>
    <cfRule type="cellIs" dxfId="315" priority="202" operator="between">
      <formula>0.000000001</formula>
      <formula>0.03386158</formula>
    </cfRule>
    <cfRule type="cellIs" dxfId="314" priority="203" operator="between">
      <formula>0.03386158</formula>
      <formula>0.06772315</formula>
    </cfRule>
  </conditionalFormatting>
  <conditionalFormatting sqref="K2:L2">
    <cfRule type="cellIs" dxfId="313" priority="201" operator="equal">
      <formula>0</formula>
    </cfRule>
  </conditionalFormatting>
  <conditionalFormatting sqref="L2">
    <cfRule type="cellIs" dxfId="312" priority="211" operator="between">
      <formula>0.30685281</formula>
      <formula>0.35799494</formula>
    </cfRule>
    <cfRule type="cellIs" dxfId="311" priority="205" operator="between">
      <formula>0.0000000001</formula>
      <formula>0.05114214</formula>
    </cfRule>
    <cfRule type="cellIs" dxfId="310" priority="208" operator="between">
      <formula>0.1534264</formula>
      <formula>0.20456855</formula>
    </cfRule>
    <cfRule type="cellIs" dxfId="309" priority="209" operator="between">
      <formula>0.20456854</formula>
      <formula>0.25571067</formula>
    </cfRule>
    <cfRule type="cellIs" dxfId="308" priority="210" operator="between">
      <formula>0.25571067</formula>
      <formula>0.30685281</formula>
    </cfRule>
    <cfRule type="cellIs" dxfId="307" priority="207" operator="between">
      <formula>0.10228427</formula>
      <formula>0.1534265</formula>
    </cfRule>
    <cfRule type="cellIs" dxfId="306" priority="206" operator="between">
      <formula>0.05114214</formula>
      <formula>0.10228427</formula>
    </cfRule>
    <cfRule type="cellIs" dxfId="305" priority="214" operator="between">
      <formula>0.46027921</formula>
      <formula>0.51142134</formula>
    </cfRule>
    <cfRule type="cellIs" dxfId="304" priority="213" operator="between">
      <formula>0.40913707</formula>
      <formula>0.46027921</formula>
    </cfRule>
    <cfRule type="cellIs" dxfId="303" priority="212" operator="between">
      <formula>0.35799494</formula>
      <formula>0.40913707</formula>
    </cfRule>
  </conditionalFormatting>
  <conditionalFormatting sqref="M2">
    <cfRule type="cellIs" dxfId="302" priority="217" operator="between">
      <formula>4.42868571</formula>
      <formula>8.85737143</formula>
    </cfRule>
    <cfRule type="cellIs" dxfId="301" priority="218" operator="between">
      <formula>8.85737143</formula>
      <formula>13.28605715</formula>
    </cfRule>
    <cfRule type="cellIs" dxfId="300" priority="219" operator="between">
      <formula>39.85817143</formula>
      <formula>44.28685715</formula>
    </cfRule>
    <cfRule type="cellIs" dxfId="299" priority="216" operator="between">
      <formula>0.0000000001</formula>
      <formula>4.42868572</formula>
    </cfRule>
  </conditionalFormatting>
  <conditionalFormatting sqref="M2:N2">
    <cfRule type="cellIs" dxfId="298" priority="215" operator="equal">
      <formula>0</formula>
    </cfRule>
  </conditionalFormatting>
  <conditionalFormatting sqref="N2">
    <cfRule type="cellIs" dxfId="297" priority="225" operator="between">
      <formula>0.01761471</formula>
      <formula>0.0195719</formula>
    </cfRule>
    <cfRule type="cellIs" dxfId="296" priority="220" operator="between">
      <formula>0.0000001</formula>
      <formula>0.00195719</formula>
    </cfRule>
    <cfRule type="cellIs" dxfId="295" priority="221" operator="between">
      <formula>0.00195719</formula>
      <formula>0.00391438</formula>
    </cfRule>
    <cfRule type="cellIs" dxfId="294" priority="222" operator="between">
      <formula>0.00391438</formula>
      <formula>0.00587157</formula>
    </cfRule>
    <cfRule type="cellIs" dxfId="293" priority="223" operator="between">
      <formula>0.00587157</formula>
      <formula>0.00782876</formula>
    </cfRule>
    <cfRule type="cellIs" dxfId="292" priority="224" operator="between">
      <formula>0.00782876</formula>
      <formula>0.00978595</formula>
    </cfRule>
  </conditionalFormatting>
  <conditionalFormatting sqref="Y2">
    <cfRule type="cellIs" dxfId="291" priority="177" operator="between">
      <formula>0.000000001</formula>
      <formula>0.03386158</formula>
    </cfRule>
    <cfRule type="cellIs" dxfId="290" priority="178" operator="between">
      <formula>0.03386158</formula>
      <formula>0.06772315</formula>
    </cfRule>
    <cfRule type="cellIs" dxfId="289" priority="179" operator="between">
      <formula>0.30475418</formula>
      <formula>"AQ34"</formula>
    </cfRule>
  </conditionalFormatting>
  <conditionalFormatting sqref="Y2:Z2">
    <cfRule type="cellIs" dxfId="288" priority="176" operator="equal">
      <formula>0</formula>
    </cfRule>
  </conditionalFormatting>
  <conditionalFormatting sqref="Z2">
    <cfRule type="cellIs" dxfId="287" priority="186" operator="between">
      <formula>0.30685281</formula>
      <formula>0.35799494</formula>
    </cfRule>
    <cfRule type="cellIs" dxfId="286" priority="180" operator="between">
      <formula>0.0000000001</formula>
      <formula>0.05114214</formula>
    </cfRule>
    <cfRule type="cellIs" dxfId="285" priority="182" operator="between">
      <formula>0.10228427</formula>
      <formula>0.1534265</formula>
    </cfRule>
    <cfRule type="cellIs" dxfId="284" priority="183" operator="between">
      <formula>0.1534264</formula>
      <formula>0.20456855</formula>
    </cfRule>
    <cfRule type="cellIs" dxfId="283" priority="184" operator="between">
      <formula>0.20456854</formula>
      <formula>0.25571067</formula>
    </cfRule>
    <cfRule type="cellIs" dxfId="282" priority="185" operator="between">
      <formula>0.25571067</formula>
      <formula>0.30685281</formula>
    </cfRule>
    <cfRule type="cellIs" dxfId="281" priority="181" operator="between">
      <formula>0.05114214</formula>
      <formula>0.10228427</formula>
    </cfRule>
    <cfRule type="cellIs" dxfId="280" priority="189" operator="between">
      <formula>0.46027921</formula>
      <formula>0.51142134</formula>
    </cfRule>
    <cfRule type="cellIs" dxfId="279" priority="188" operator="between">
      <formula>0.40913707</formula>
      <formula>0.46027921</formula>
    </cfRule>
    <cfRule type="cellIs" dxfId="278" priority="187" operator="between">
      <formula>0.35799494</formula>
      <formula>0.40913707</formula>
    </cfRule>
  </conditionalFormatting>
  <conditionalFormatting sqref="AA2">
    <cfRule type="cellIs" dxfId="277" priority="191" operator="between">
      <formula>0.0000000001</formula>
      <formula>4.42868572</formula>
    </cfRule>
    <cfRule type="cellIs" dxfId="276" priority="192" operator="between">
      <formula>4.42868571</formula>
      <formula>8.85737143</formula>
    </cfRule>
    <cfRule type="cellIs" dxfId="275" priority="193" operator="between">
      <formula>8.85737143</formula>
      <formula>13.28605715</formula>
    </cfRule>
    <cfRule type="cellIs" dxfId="274" priority="194" operator="between">
      <formula>39.85817143</formula>
      <formula>44.28685715</formula>
    </cfRule>
  </conditionalFormatting>
  <conditionalFormatting sqref="AA2:AB2">
    <cfRule type="cellIs" dxfId="273" priority="190" operator="equal">
      <formula>0</formula>
    </cfRule>
  </conditionalFormatting>
  <conditionalFormatting sqref="AB2">
    <cfRule type="cellIs" dxfId="272" priority="196" operator="between">
      <formula>0.00195719</formula>
      <formula>0.00391438</formula>
    </cfRule>
    <cfRule type="cellIs" dxfId="271" priority="195" operator="between">
      <formula>0.0000001</formula>
      <formula>0.00195719</formula>
    </cfRule>
    <cfRule type="cellIs" dxfId="270" priority="197" operator="between">
      <formula>0.00391438</formula>
      <formula>0.00587157</formula>
    </cfRule>
    <cfRule type="cellIs" dxfId="269" priority="198" operator="between">
      <formula>0.00587157</formula>
      <formula>0.00782876</formula>
    </cfRule>
    <cfRule type="cellIs" dxfId="268" priority="199" operator="between">
      <formula>0.00782876</formula>
      <formula>0.00978595</formula>
    </cfRule>
    <cfRule type="cellIs" dxfId="267" priority="200" operator="between">
      <formula>0.01761471</formula>
      <formula>0.0195719</formula>
    </cfRule>
  </conditionalFormatting>
  <conditionalFormatting sqref="AI2">
    <cfRule type="cellIs" dxfId="266" priority="127" operator="between">
      <formula>0.000000001</formula>
      <formula>0.03386158</formula>
    </cfRule>
    <cfRule type="cellIs" dxfId="265" priority="128" operator="between">
      <formula>0.03386158</formula>
      <formula>0.06772315</formula>
    </cfRule>
    <cfRule type="cellIs" dxfId="264" priority="129" operator="between">
      <formula>0.30475418</formula>
      <formula>"AQ34"</formula>
    </cfRule>
  </conditionalFormatting>
  <conditionalFormatting sqref="AI2:AJ2">
    <cfRule type="cellIs" dxfId="263" priority="126" operator="equal">
      <formula>0</formula>
    </cfRule>
  </conditionalFormatting>
  <conditionalFormatting sqref="AJ2">
    <cfRule type="cellIs" dxfId="262" priority="130" operator="between">
      <formula>0.0000000001</formula>
      <formula>0.05114214</formula>
    </cfRule>
    <cfRule type="cellIs" dxfId="261" priority="131" operator="between">
      <formula>0.05114214</formula>
      <formula>0.10228427</formula>
    </cfRule>
    <cfRule type="cellIs" dxfId="260" priority="133" operator="between">
      <formula>0.1534264</formula>
      <formula>0.20456855</formula>
    </cfRule>
    <cfRule type="cellIs" dxfId="259" priority="132" operator="between">
      <formula>0.10228427</formula>
      <formula>0.1534265</formula>
    </cfRule>
    <cfRule type="cellIs" dxfId="258" priority="134" operator="between">
      <formula>0.20456854</formula>
      <formula>0.25571067</formula>
    </cfRule>
    <cfRule type="cellIs" dxfId="257" priority="135" operator="between">
      <formula>0.25571067</formula>
      <formula>0.30685281</formula>
    </cfRule>
    <cfRule type="cellIs" dxfId="256" priority="136" operator="between">
      <formula>0.30685281</formula>
      <formula>0.35799494</formula>
    </cfRule>
    <cfRule type="cellIs" dxfId="255" priority="139" operator="between">
      <formula>0.46027921</formula>
      <formula>0.51142134</formula>
    </cfRule>
    <cfRule type="cellIs" dxfId="254" priority="138" operator="between">
      <formula>0.40913707</formula>
      <formula>0.46027921</formula>
    </cfRule>
    <cfRule type="cellIs" dxfId="253" priority="137" operator="between">
      <formula>0.35799494</formula>
      <formula>0.40913707</formula>
    </cfRule>
  </conditionalFormatting>
  <conditionalFormatting sqref="AK2">
    <cfRule type="cellIs" dxfId="252" priority="141" operator="between">
      <formula>0.0000000001</formula>
      <formula>4.42868572</formula>
    </cfRule>
    <cfRule type="cellIs" dxfId="251" priority="142" operator="between">
      <formula>4.42868571</formula>
      <formula>8.85737143</formula>
    </cfRule>
    <cfRule type="cellIs" dxfId="250" priority="144" operator="between">
      <formula>39.85817143</formula>
      <formula>44.28685715</formula>
    </cfRule>
    <cfRule type="cellIs" dxfId="249" priority="143" operator="between">
      <formula>8.85737143</formula>
      <formula>13.28605715</formula>
    </cfRule>
  </conditionalFormatting>
  <conditionalFormatting sqref="AK2:AL2">
    <cfRule type="cellIs" dxfId="248" priority="140" operator="equal">
      <formula>0</formula>
    </cfRule>
  </conditionalFormatting>
  <conditionalFormatting sqref="AL2">
    <cfRule type="cellIs" dxfId="247" priority="145" operator="between">
      <formula>0.0000001</formula>
      <formula>0.00195719</formula>
    </cfRule>
    <cfRule type="cellIs" dxfId="246" priority="146" operator="between">
      <formula>0.00195719</formula>
      <formula>0.00391438</formula>
    </cfRule>
    <cfRule type="cellIs" dxfId="245" priority="147" operator="between">
      <formula>0.00391438</formula>
      <formula>0.00587157</formula>
    </cfRule>
    <cfRule type="cellIs" dxfId="244" priority="148" operator="between">
      <formula>0.00587157</formula>
      <formula>0.00782876</formula>
    </cfRule>
    <cfRule type="cellIs" dxfId="243" priority="149" operator="between">
      <formula>0.00782876</formula>
      <formula>0.00978595</formula>
    </cfRule>
    <cfRule type="cellIs" dxfId="242" priority="150" operator="between">
      <formula>0.01761471</formula>
      <formula>0.0195719</formula>
    </cfRule>
  </conditionalFormatting>
  <conditionalFormatting sqref="AS2">
    <cfRule type="cellIs" dxfId="241" priority="104" operator="between">
      <formula>0.30475418</formula>
      <formula>"AQ34"</formula>
    </cfRule>
    <cfRule type="cellIs" dxfId="240" priority="103" operator="between">
      <formula>0.03386158</formula>
      <formula>0.06772315</formula>
    </cfRule>
    <cfRule type="cellIs" dxfId="239" priority="102" operator="between">
      <formula>0.000000001</formula>
      <formula>0.03386158</formula>
    </cfRule>
  </conditionalFormatting>
  <conditionalFormatting sqref="AS2:AT2">
    <cfRule type="cellIs" dxfId="238" priority="101" operator="equal">
      <formula>0</formula>
    </cfRule>
  </conditionalFormatting>
  <conditionalFormatting sqref="AT2">
    <cfRule type="cellIs" dxfId="237" priority="105" operator="between">
      <formula>0.0000000001</formula>
      <formula>0.05114214</formula>
    </cfRule>
    <cfRule type="cellIs" dxfId="236" priority="106" operator="between">
      <formula>0.05114214</formula>
      <formula>0.10228427</formula>
    </cfRule>
    <cfRule type="cellIs" dxfId="235" priority="107" operator="between">
      <formula>0.10228427</formula>
      <formula>0.1534265</formula>
    </cfRule>
    <cfRule type="cellIs" dxfId="234" priority="108" operator="between">
      <formula>0.1534264</formula>
      <formula>0.20456855</formula>
    </cfRule>
    <cfRule type="cellIs" dxfId="233" priority="109" operator="between">
      <formula>0.20456854</formula>
      <formula>0.25571067</formula>
    </cfRule>
    <cfRule type="cellIs" dxfId="232" priority="110" operator="between">
      <formula>0.25571067</formula>
      <formula>0.30685281</formula>
    </cfRule>
    <cfRule type="cellIs" dxfId="231" priority="111" operator="between">
      <formula>0.30685281</formula>
      <formula>0.35799494</formula>
    </cfRule>
    <cfRule type="cellIs" dxfId="230" priority="112" operator="between">
      <formula>0.35799494</formula>
      <formula>0.40913707</formula>
    </cfRule>
    <cfRule type="cellIs" dxfId="229" priority="113" operator="between">
      <formula>0.40913707</formula>
      <formula>0.46027921</formula>
    </cfRule>
    <cfRule type="cellIs" dxfId="228" priority="114" operator="between">
      <formula>0.46027921</formula>
      <formula>0.51142134</formula>
    </cfRule>
  </conditionalFormatting>
  <conditionalFormatting sqref="AU2">
    <cfRule type="cellIs" dxfId="227" priority="116" operator="between">
      <formula>0.0000000001</formula>
      <formula>4.42868572</formula>
    </cfRule>
    <cfRule type="cellIs" dxfId="226" priority="117" operator="between">
      <formula>4.42868571</formula>
      <formula>8.85737143</formula>
    </cfRule>
    <cfRule type="cellIs" dxfId="225" priority="118" operator="between">
      <formula>8.85737143</formula>
      <formula>13.28605715</formula>
    </cfRule>
    <cfRule type="cellIs" dxfId="224" priority="119" operator="between">
      <formula>39.85817143</formula>
      <formula>44.28685715</formula>
    </cfRule>
  </conditionalFormatting>
  <conditionalFormatting sqref="AU2:AV2">
    <cfRule type="cellIs" dxfId="223" priority="115" operator="equal">
      <formula>0</formula>
    </cfRule>
  </conditionalFormatting>
  <conditionalFormatting sqref="AV2">
    <cfRule type="cellIs" dxfId="222" priority="120" operator="between">
      <formula>0.0000001</formula>
      <formula>0.00195719</formula>
    </cfRule>
    <cfRule type="cellIs" dxfId="221" priority="121" operator="between">
      <formula>0.00195719</formula>
      <formula>0.00391438</formula>
    </cfRule>
    <cfRule type="cellIs" dxfId="220" priority="122" operator="between">
      <formula>0.00391438</formula>
      <formula>0.00587157</formula>
    </cfRule>
    <cfRule type="cellIs" dxfId="219" priority="123" operator="between">
      <formula>0.00587157</formula>
      <formula>0.00782876</formula>
    </cfRule>
    <cfRule type="cellIs" dxfId="218" priority="124" operator="between">
      <formula>0.00782876</formula>
      <formula>0.00978595</formula>
    </cfRule>
    <cfRule type="cellIs" dxfId="217" priority="125" operator="between">
      <formula>0.01761471</formula>
      <formula>0.0195719</formula>
    </cfRule>
  </conditionalFormatting>
  <conditionalFormatting sqref="BC2">
    <cfRule type="cellIs" dxfId="216" priority="79" operator="between">
      <formula>0.30475418</formula>
      <formula>"AQ34"</formula>
    </cfRule>
    <cfRule type="cellIs" dxfId="215" priority="78" operator="between">
      <formula>0.03386158</formula>
      <formula>0.06772315</formula>
    </cfRule>
    <cfRule type="cellIs" dxfId="214" priority="77" operator="between">
      <formula>0.000000001</formula>
      <formula>0.03386158</formula>
    </cfRule>
  </conditionalFormatting>
  <conditionalFormatting sqref="BC2:BD2">
    <cfRule type="cellIs" dxfId="213" priority="76" operator="equal">
      <formula>0</formula>
    </cfRule>
  </conditionalFormatting>
  <conditionalFormatting sqref="BD2">
    <cfRule type="cellIs" dxfId="212" priority="80" operator="between">
      <formula>0.0000000001</formula>
      <formula>0.05114214</formula>
    </cfRule>
    <cfRule type="cellIs" dxfId="211" priority="88" operator="between">
      <formula>0.40913707</formula>
      <formula>0.46027921</formula>
    </cfRule>
    <cfRule type="cellIs" dxfId="210" priority="81" operator="between">
      <formula>0.05114214</formula>
      <formula>0.10228427</formula>
    </cfRule>
    <cfRule type="cellIs" dxfId="209" priority="82" operator="between">
      <formula>0.10228427</formula>
      <formula>0.1534265</formula>
    </cfRule>
    <cfRule type="cellIs" dxfId="208" priority="83" operator="between">
      <formula>0.1534264</formula>
      <formula>0.20456855</formula>
    </cfRule>
    <cfRule type="cellIs" dxfId="207" priority="84" operator="between">
      <formula>0.20456854</formula>
      <formula>0.25571067</formula>
    </cfRule>
    <cfRule type="cellIs" dxfId="206" priority="85" operator="between">
      <formula>0.25571067</formula>
      <formula>0.30685281</formula>
    </cfRule>
    <cfRule type="cellIs" dxfId="205" priority="86" operator="between">
      <formula>0.30685281</formula>
      <formula>0.35799494</formula>
    </cfRule>
    <cfRule type="cellIs" dxfId="204" priority="87" operator="between">
      <formula>0.35799494</formula>
      <formula>0.40913707</formula>
    </cfRule>
    <cfRule type="cellIs" dxfId="203" priority="89" operator="between">
      <formula>0.46027921</formula>
      <formula>0.51142134</formula>
    </cfRule>
  </conditionalFormatting>
  <conditionalFormatting sqref="BE2">
    <cfRule type="cellIs" dxfId="202" priority="91" operator="between">
      <formula>0.0000000001</formula>
      <formula>4.42868572</formula>
    </cfRule>
    <cfRule type="cellIs" dxfId="201" priority="92" operator="between">
      <formula>4.42868571</formula>
      <formula>8.85737143</formula>
    </cfRule>
    <cfRule type="cellIs" dxfId="200" priority="94" operator="between">
      <formula>39.85817143</formula>
      <formula>44.28685715</formula>
    </cfRule>
    <cfRule type="cellIs" dxfId="199" priority="93" operator="between">
      <formula>8.85737143</formula>
      <formula>13.28605715</formula>
    </cfRule>
  </conditionalFormatting>
  <conditionalFormatting sqref="BE2:BF2">
    <cfRule type="cellIs" dxfId="198" priority="90" operator="equal">
      <formula>0</formula>
    </cfRule>
  </conditionalFormatting>
  <conditionalFormatting sqref="BF2">
    <cfRule type="cellIs" dxfId="197" priority="100" operator="between">
      <formula>0.01761471</formula>
      <formula>0.0195719</formula>
    </cfRule>
    <cfRule type="cellIs" dxfId="196" priority="95" operator="between">
      <formula>0.0000001</formula>
      <formula>0.00195719</formula>
    </cfRule>
    <cfRule type="cellIs" dxfId="195" priority="96" operator="between">
      <formula>0.00195719</formula>
      <formula>0.00391438</formula>
    </cfRule>
    <cfRule type="cellIs" dxfId="194" priority="97" operator="between">
      <formula>0.00391438</formula>
      <formula>0.00587157</formula>
    </cfRule>
    <cfRule type="cellIs" dxfId="193" priority="98" operator="between">
      <formula>0.00587157</formula>
      <formula>0.00782876</formula>
    </cfRule>
    <cfRule type="cellIs" dxfId="192" priority="99" operator="between">
      <formula>0.00782876</formula>
      <formula>0.00978595</formula>
    </cfRule>
  </conditionalFormatting>
  <conditionalFormatting sqref="BN2">
    <cfRule type="cellIs" dxfId="191" priority="52" operator="between">
      <formula>0.000000001</formula>
      <formula>0.03386158</formula>
    </cfRule>
    <cfRule type="cellIs" dxfId="190" priority="53" operator="between">
      <formula>0.03386158</formula>
      <formula>0.06772315</formula>
    </cfRule>
    <cfRule type="cellIs" dxfId="189" priority="54" operator="between">
      <formula>0.30475418</formula>
      <formula>"AQ34"</formula>
    </cfRule>
  </conditionalFormatting>
  <conditionalFormatting sqref="BN2:BO2">
    <cfRule type="cellIs" dxfId="188" priority="51" operator="equal">
      <formula>0</formula>
    </cfRule>
  </conditionalFormatting>
  <conditionalFormatting sqref="BO2">
    <cfRule type="cellIs" dxfId="187" priority="61" operator="between">
      <formula>0.30685281</formula>
      <formula>0.35799494</formula>
    </cfRule>
    <cfRule type="cellIs" dxfId="186" priority="58" operator="between">
      <formula>0.1534264</formula>
      <formula>0.20456855</formula>
    </cfRule>
    <cfRule type="cellIs" dxfId="185" priority="57" operator="between">
      <formula>0.10228427</formula>
      <formula>0.1534265</formula>
    </cfRule>
    <cfRule type="cellIs" dxfId="184" priority="56" operator="between">
      <formula>0.05114214</formula>
      <formula>0.10228427</formula>
    </cfRule>
    <cfRule type="cellIs" dxfId="183" priority="59" operator="between">
      <formula>0.20456854</formula>
      <formula>0.25571067</formula>
    </cfRule>
    <cfRule type="cellIs" dxfId="182" priority="60" operator="between">
      <formula>0.25571067</formula>
      <formula>0.30685281</formula>
    </cfRule>
    <cfRule type="cellIs" dxfId="181" priority="55" operator="between">
      <formula>0.0000000001</formula>
      <formula>0.05114214</formula>
    </cfRule>
    <cfRule type="cellIs" dxfId="180" priority="64" operator="between">
      <formula>0.46027921</formula>
      <formula>0.51142134</formula>
    </cfRule>
    <cfRule type="cellIs" dxfId="179" priority="63" operator="between">
      <formula>0.40913707</formula>
      <formula>0.46027921</formula>
    </cfRule>
    <cfRule type="cellIs" dxfId="178" priority="62" operator="between">
      <formula>0.35799494</formula>
      <formula>0.40913707</formula>
    </cfRule>
  </conditionalFormatting>
  <conditionalFormatting sqref="BP2">
    <cfRule type="cellIs" dxfId="177" priority="66" operator="between">
      <formula>0.0000000001</formula>
      <formula>4.42868572</formula>
    </cfRule>
    <cfRule type="cellIs" dxfId="176" priority="67" operator="between">
      <formula>4.42868571</formula>
      <formula>8.85737143</formula>
    </cfRule>
    <cfRule type="cellIs" dxfId="175" priority="68" operator="between">
      <formula>8.85737143</formula>
      <formula>13.28605715</formula>
    </cfRule>
    <cfRule type="cellIs" dxfId="174" priority="69" operator="between">
      <formula>39.85817143</formula>
      <formula>44.28685715</formula>
    </cfRule>
  </conditionalFormatting>
  <conditionalFormatting sqref="BP2:BQ2">
    <cfRule type="cellIs" dxfId="173" priority="65" operator="equal">
      <formula>0</formula>
    </cfRule>
  </conditionalFormatting>
  <conditionalFormatting sqref="BQ2">
    <cfRule type="cellIs" dxfId="172" priority="70" operator="between">
      <formula>0.0000001</formula>
      <formula>0.00195719</formula>
    </cfRule>
    <cfRule type="cellIs" dxfId="171" priority="71" operator="between">
      <formula>0.00195719</formula>
      <formula>0.00391438</formula>
    </cfRule>
    <cfRule type="cellIs" dxfId="170" priority="72" operator="between">
      <formula>0.00391438</formula>
      <formula>0.00587157</formula>
    </cfRule>
    <cfRule type="cellIs" dxfId="169" priority="73" operator="between">
      <formula>0.00587157</formula>
      <formula>0.00782876</formula>
    </cfRule>
    <cfRule type="cellIs" dxfId="168" priority="74" operator="between">
      <formula>0.00782876</formula>
      <formula>0.00978595</formula>
    </cfRule>
    <cfRule type="cellIs" dxfId="167" priority="75" operator="between">
      <formula>0.01761471</formula>
      <formula>0.0195719</formula>
    </cfRule>
  </conditionalFormatting>
  <conditionalFormatting sqref="BY2">
    <cfRule type="cellIs" dxfId="166" priority="27" operator="between">
      <formula>0.000000001</formula>
      <formula>0.03386158</formula>
    </cfRule>
    <cfRule type="cellIs" dxfId="165" priority="28" operator="between">
      <formula>0.03386158</formula>
      <formula>0.06772315</formula>
    </cfRule>
    <cfRule type="cellIs" dxfId="164" priority="29" operator="between">
      <formula>0.30475418</formula>
      <formula>"AQ34"</formula>
    </cfRule>
  </conditionalFormatting>
  <conditionalFormatting sqref="BY2:BZ2">
    <cfRule type="cellIs" dxfId="163" priority="26" operator="equal">
      <formula>0</formula>
    </cfRule>
  </conditionalFormatting>
  <conditionalFormatting sqref="BZ2">
    <cfRule type="cellIs" dxfId="162" priority="35" operator="between">
      <formula>0.25571067</formula>
      <formula>0.30685281</formula>
    </cfRule>
    <cfRule type="cellIs" dxfId="161" priority="34" operator="between">
      <formula>0.20456854</formula>
      <formula>0.25571067</formula>
    </cfRule>
    <cfRule type="cellIs" dxfId="160" priority="32" operator="between">
      <formula>0.10228427</formula>
      <formula>0.1534265</formula>
    </cfRule>
    <cfRule type="cellIs" dxfId="159" priority="33" operator="between">
      <formula>0.1534264</formula>
      <formula>0.20456855</formula>
    </cfRule>
    <cfRule type="cellIs" dxfId="158" priority="31" operator="between">
      <formula>0.05114214</formula>
      <formula>0.10228427</formula>
    </cfRule>
    <cfRule type="cellIs" dxfId="157" priority="30" operator="between">
      <formula>0.0000000001</formula>
      <formula>0.05114214</formula>
    </cfRule>
    <cfRule type="cellIs" dxfId="156" priority="36" operator="between">
      <formula>0.30685281</formula>
      <formula>0.35799494</formula>
    </cfRule>
    <cfRule type="cellIs" dxfId="155" priority="39" operator="between">
      <formula>0.46027921</formula>
      <formula>0.51142134</formula>
    </cfRule>
    <cfRule type="cellIs" dxfId="154" priority="38" operator="between">
      <formula>0.40913707</formula>
      <formula>0.46027921</formula>
    </cfRule>
    <cfRule type="cellIs" dxfId="153" priority="37" operator="between">
      <formula>0.35799494</formula>
      <formula>0.40913707</formula>
    </cfRule>
  </conditionalFormatting>
  <conditionalFormatting sqref="CA2">
    <cfRule type="cellIs" dxfId="152" priority="41" operator="between">
      <formula>0.0000000001</formula>
      <formula>4.42868572</formula>
    </cfRule>
    <cfRule type="cellIs" dxfId="151" priority="42" operator="between">
      <formula>4.42868571</formula>
      <formula>8.85737143</formula>
    </cfRule>
    <cfRule type="cellIs" dxfId="150" priority="43" operator="between">
      <formula>8.85737143</formula>
      <formula>13.28605715</formula>
    </cfRule>
    <cfRule type="cellIs" dxfId="149" priority="44" operator="between">
      <formula>39.85817143</formula>
      <formula>44.28685715</formula>
    </cfRule>
  </conditionalFormatting>
  <conditionalFormatting sqref="CA2:CB2">
    <cfRule type="cellIs" dxfId="148" priority="40" operator="equal">
      <formula>0</formula>
    </cfRule>
  </conditionalFormatting>
  <conditionalFormatting sqref="CB2">
    <cfRule type="cellIs" dxfId="147" priority="45" operator="between">
      <formula>0.0000001</formula>
      <formula>0.00195719</formula>
    </cfRule>
    <cfRule type="cellIs" dxfId="146" priority="46" operator="between">
      <formula>0.00195719</formula>
      <formula>0.00391438</formula>
    </cfRule>
    <cfRule type="cellIs" dxfId="145" priority="47" operator="between">
      <formula>0.00391438</formula>
      <formula>0.00587157</formula>
    </cfRule>
    <cfRule type="cellIs" dxfId="144" priority="48" operator="between">
      <formula>0.00587157</formula>
      <formula>0.00782876</formula>
    </cfRule>
    <cfRule type="cellIs" dxfId="143" priority="49" operator="between">
      <formula>0.00782876</formula>
      <formula>0.00978595</formula>
    </cfRule>
    <cfRule type="cellIs" dxfId="142" priority="50" operator="between">
      <formula>0.01761471</formula>
      <formula>0.0195719</formula>
    </cfRule>
  </conditionalFormatting>
  <conditionalFormatting sqref="CJ2">
    <cfRule type="cellIs" dxfId="141" priority="2" operator="between">
      <formula>0.000000001</formula>
      <formula>0.03386158</formula>
    </cfRule>
    <cfRule type="cellIs" dxfId="140" priority="3" operator="between">
      <formula>0.03386158</formula>
      <formula>0.06772315</formula>
    </cfRule>
    <cfRule type="cellIs" dxfId="139" priority="4" operator="between">
      <formula>0.30475418</formula>
      <formula>"AQ34"</formula>
    </cfRule>
  </conditionalFormatting>
  <conditionalFormatting sqref="CJ2:CK2">
    <cfRule type="cellIs" dxfId="138" priority="1" operator="equal">
      <formula>0</formula>
    </cfRule>
  </conditionalFormatting>
  <conditionalFormatting sqref="CK2">
    <cfRule type="cellIs" dxfId="137" priority="11" operator="between">
      <formula>0.30685281</formula>
      <formula>0.35799494</formula>
    </cfRule>
    <cfRule type="cellIs" dxfId="136" priority="5" operator="between">
      <formula>0.0000000001</formula>
      <formula>0.05114214</formula>
    </cfRule>
    <cfRule type="cellIs" dxfId="135" priority="7" operator="between">
      <formula>0.10228427</formula>
      <formula>0.1534265</formula>
    </cfRule>
    <cfRule type="cellIs" dxfId="134" priority="8" operator="between">
      <formula>0.1534264</formula>
      <formula>0.20456855</formula>
    </cfRule>
    <cfRule type="cellIs" dxfId="133" priority="9" operator="between">
      <formula>0.20456854</formula>
      <formula>0.25571067</formula>
    </cfRule>
    <cfRule type="cellIs" dxfId="132" priority="10" operator="between">
      <formula>0.25571067</formula>
      <formula>0.30685281</formula>
    </cfRule>
    <cfRule type="cellIs" dxfId="131" priority="6" operator="between">
      <formula>0.05114214</formula>
      <formula>0.10228427</formula>
    </cfRule>
    <cfRule type="cellIs" dxfId="130" priority="14" operator="between">
      <formula>0.46027921</formula>
      <formula>0.51142134</formula>
    </cfRule>
    <cfRule type="cellIs" dxfId="129" priority="13" operator="between">
      <formula>0.40913707</formula>
      <formula>0.46027921</formula>
    </cfRule>
    <cfRule type="cellIs" dxfId="128" priority="12" operator="between">
      <formula>0.35799494</formula>
      <formula>0.40913707</formula>
    </cfRule>
  </conditionalFormatting>
  <conditionalFormatting sqref="CL2">
    <cfRule type="cellIs" dxfId="127" priority="16" operator="between">
      <formula>0.0000000001</formula>
      <formula>4.42868572</formula>
    </cfRule>
    <cfRule type="cellIs" dxfId="126" priority="17" operator="between">
      <formula>4.42868571</formula>
      <formula>8.85737143</formula>
    </cfRule>
    <cfRule type="cellIs" dxfId="125" priority="18" operator="between">
      <formula>8.85737143</formula>
      <formula>13.28605715</formula>
    </cfRule>
    <cfRule type="cellIs" dxfId="124" priority="19" operator="between">
      <formula>39.85817143</formula>
      <formula>44.28685715</formula>
    </cfRule>
  </conditionalFormatting>
  <conditionalFormatting sqref="CL2:CM2">
    <cfRule type="cellIs" dxfId="123" priority="15" operator="equal">
      <formula>0</formula>
    </cfRule>
  </conditionalFormatting>
  <conditionalFormatting sqref="CM2">
    <cfRule type="cellIs" dxfId="122" priority="21" operator="between">
      <formula>0.00195719</formula>
      <formula>0.00391438</formula>
    </cfRule>
    <cfRule type="cellIs" dxfId="121" priority="20" operator="between">
      <formula>0.0000001</formula>
      <formula>0.00195719</formula>
    </cfRule>
    <cfRule type="cellIs" dxfId="120" priority="22" operator="between">
      <formula>0.00391438</formula>
      <formula>0.00587157</formula>
    </cfRule>
    <cfRule type="cellIs" dxfId="119" priority="24" operator="between">
      <formula>0.00782876</formula>
      <formula>0.00978595</formula>
    </cfRule>
    <cfRule type="cellIs" dxfId="118" priority="25" operator="between">
      <formula>0.01761471</formula>
      <formula>0.0195719</formula>
    </cfRule>
    <cfRule type="cellIs" dxfId="117" priority="23" operator="between">
      <formula>0.00587157</formula>
      <formula>0.00782876</formula>
    </cfRule>
  </conditionalFormatting>
  <hyperlinks>
    <hyperlink ref="A5" r:id="rId1" location="tbl4fn1" display="https://www.sciencedirect.com/science/article/pii/S0022316622110011?via%3Dihub - tbl4fn1" xr:uid="{00000000-0004-0000-0100-000000000000}"/>
    <hyperlink ref="A14" r:id="rId2" location="tbl4fn2" display="https://www.sciencedirect.com/science/article/pii/S0022316622110011?via%3Dihub - tbl4fn2" xr:uid="{00000000-0004-0000-0100-000001000000}"/>
    <hyperlink ref="A16" r:id="rId3" location="tbl4fn3" display="https://www.sciencedirect.com/science/article/pii/S0022316622110011?via%3Dihub - tbl4fn3" xr:uid="{00000000-0004-0000-0100-000002000000}"/>
    <hyperlink ref="A18" r:id="rId4" location="tbl4fn4" display="https://www.sciencedirect.com/science/article/pii/S0022316622110011?via%3Dihub - tbl4fn4" xr:uid="{00000000-0004-0000-0100-000003000000}"/>
    <hyperlink ref="A19" r:id="rId5" location="tbl4fn5" display="https://www.sciencedirect.com/science/article/pii/S0022316622110011?via%3Dihub - tbl4fn5" xr:uid="{00000000-0004-0000-0100-000004000000}"/>
    <hyperlink ref="A24" r:id="rId6" location="tbl4fn6" display="https://www.sciencedirect.com/science/article/pii/S0022316622110011?via%3Dihub - tbl4fn6" xr:uid="{00000000-0004-0000-0100-000005000000}"/>
    <hyperlink ref="A26" r:id="rId7" location="tbl4fn7" display="https://www.sciencedirect.com/science/article/pii/S0022316622110011?via%3Dihub - tbl4fn7" xr:uid="{00000000-0004-0000-0100-000006000000}"/>
    <hyperlink ref="A33" r:id="rId8" location="tbl4fn8" display="https://www.sciencedirect.com/science/article/pii/S0022316622110011?via%3Dihub - tbl4fn8" xr:uid="{00000000-0004-0000-0100-000007000000}"/>
    <hyperlink ref="A38" r:id="rId9" location="tbl4fn9" display="https://www.sciencedirect.com/science/article/pii/S0022316622110011?via%3Dihub - tbl4fn9" xr:uid="{00000000-0004-0000-0100-000008000000}"/>
    <hyperlink ref="A39" r:id="rId10" location="tbl4fn10" display="https://www.sciencedirect.com/science/article/pii/S0022316622110011?via%3Dihub - tbl4fn10" xr:uid="{00000000-0004-0000-0100-000009000000}"/>
    <hyperlink ref="A40" r:id="rId11" location="tbl4fn11" display="https://www.sciencedirect.com/science/article/pii/S0022316622110011?via%3Dihub - tbl4fn11" xr:uid="{00000000-0004-0000-0100-00000A000000}"/>
    <hyperlink ref="A43" r:id="rId12" location="tbl4fn12" display="https://www.sciencedirect.com/science/article/pii/S0022316622110011?via%3Dihub - tbl4fn12" xr:uid="{00000000-0004-0000-0100-00000B000000}"/>
    <hyperlink ref="A44" r:id="rId13" location="tbl4fn13" display="https://www.sciencedirect.com/science/article/pii/S0022316622110011?via%3Dihub - tbl4fn13" xr:uid="{00000000-0004-0000-0100-00000C000000}"/>
    <hyperlink ref="A76" r:id="rId14" location="tbl2" display="https://www.sciencedirect.com/science/article/pii/S0022316622110011?via%3Dihub - tbl2" xr:uid="{00000000-0004-0000-0100-00000D000000}"/>
    <hyperlink ref="A49" r:id="rId15" location="appsec1" xr:uid="{00000000-0004-0000-0100-00000E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10E87-1EBC-1941-8FF5-F7C1E4F8B24A}">
  <dimension ref="A1:M290"/>
  <sheetViews>
    <sheetView workbookViewId="0"/>
  </sheetViews>
  <sheetFormatPr baseColWidth="10" defaultRowHeight="15"/>
  <cols>
    <col min="1" max="1" width="38.6640625" customWidth="1"/>
    <col min="2" max="2" width="6.33203125" customWidth="1"/>
    <col min="5" max="5" width="2.33203125" customWidth="1"/>
    <col min="6" max="6" width="19.5" customWidth="1"/>
  </cols>
  <sheetData>
    <row r="1" spans="1:13">
      <c r="A1" s="68" t="s">
        <v>1034</v>
      </c>
      <c r="B1" s="68" t="s">
        <v>1035</v>
      </c>
      <c r="C1" s="68" t="s">
        <v>1036</v>
      </c>
      <c r="D1" s="169" t="s">
        <v>1037</v>
      </c>
      <c r="E1" s="16"/>
      <c r="F1" s="165" t="s">
        <v>1038</v>
      </c>
      <c r="G1" s="68" t="s">
        <v>1035</v>
      </c>
      <c r="H1" s="68" t="s">
        <v>1036</v>
      </c>
      <c r="I1" s="68" t="s">
        <v>1037</v>
      </c>
      <c r="J1" s="151"/>
      <c r="K1" s="151"/>
      <c r="L1" s="151"/>
      <c r="M1" s="151"/>
    </row>
    <row r="2" spans="1:13" ht="29">
      <c r="A2" s="162"/>
      <c r="B2" s="163" t="s">
        <v>1570</v>
      </c>
      <c r="C2" s="164" t="s">
        <v>1571</v>
      </c>
      <c r="D2" s="170" t="s">
        <v>1572</v>
      </c>
      <c r="E2" s="162"/>
      <c r="F2" s="166"/>
      <c r="G2" s="163" t="s">
        <v>1570</v>
      </c>
      <c r="H2" s="164" t="s">
        <v>1571</v>
      </c>
      <c r="I2" s="164" t="s">
        <v>1572</v>
      </c>
      <c r="J2" s="151"/>
      <c r="K2" s="151"/>
      <c r="L2" s="151"/>
      <c r="M2" s="151"/>
    </row>
    <row r="3" spans="1:13">
      <c r="A3" s="68" t="s">
        <v>1039</v>
      </c>
      <c r="B3" s="16"/>
      <c r="C3" s="16"/>
      <c r="D3" s="171"/>
      <c r="E3" s="16"/>
      <c r="F3" s="167" t="s">
        <v>1040</v>
      </c>
      <c r="G3" s="16">
        <v>342</v>
      </c>
      <c r="H3" s="16">
        <v>12</v>
      </c>
      <c r="I3" s="16">
        <v>5</v>
      </c>
      <c r="J3" s="151"/>
      <c r="K3" s="151"/>
      <c r="L3" s="151"/>
      <c r="M3" s="151"/>
    </row>
    <row r="4" spans="1:13">
      <c r="A4" s="16" t="s">
        <v>1041</v>
      </c>
      <c r="B4" s="16">
        <v>334</v>
      </c>
      <c r="C4" s="16">
        <v>12.2</v>
      </c>
      <c r="D4" s="171">
        <v>2.2999999999999998</v>
      </c>
      <c r="E4" s="16"/>
      <c r="F4" s="167" t="s">
        <v>1042</v>
      </c>
      <c r="G4" s="16">
        <v>338</v>
      </c>
      <c r="H4" s="16">
        <v>8</v>
      </c>
      <c r="I4" s="16">
        <v>3</v>
      </c>
      <c r="J4" s="151"/>
      <c r="K4" s="151"/>
      <c r="L4" s="151"/>
      <c r="M4" s="151"/>
    </row>
    <row r="5" spans="1:13">
      <c r="A5" s="16" t="s">
        <v>1043</v>
      </c>
      <c r="B5" s="16">
        <v>364</v>
      </c>
      <c r="C5" s="16">
        <v>10.9</v>
      </c>
      <c r="D5" s="171">
        <v>1.1000000000000001</v>
      </c>
      <c r="E5" s="16"/>
      <c r="F5" s="167" t="s">
        <v>1044</v>
      </c>
      <c r="G5" s="16">
        <v>355</v>
      </c>
      <c r="H5" s="16">
        <v>9</v>
      </c>
      <c r="I5" s="16">
        <v>2.2000000000000002</v>
      </c>
      <c r="J5" s="151"/>
      <c r="K5" s="151"/>
      <c r="L5" s="151"/>
      <c r="M5" s="151"/>
    </row>
    <row r="6" spans="1:13">
      <c r="A6" s="16" t="s">
        <v>1045</v>
      </c>
      <c r="B6" s="16">
        <v>213</v>
      </c>
      <c r="C6" s="16">
        <v>12.1</v>
      </c>
      <c r="D6" s="171">
        <v>3.1</v>
      </c>
      <c r="E6" s="16"/>
      <c r="F6" s="167" t="s">
        <v>1046</v>
      </c>
      <c r="G6" s="16">
        <v>327</v>
      </c>
      <c r="H6" s="16">
        <v>11.6</v>
      </c>
      <c r="I6" s="16">
        <v>2.1</v>
      </c>
      <c r="J6" s="151"/>
      <c r="K6" s="151"/>
      <c r="L6" s="151"/>
      <c r="M6" s="151"/>
    </row>
    <row r="7" spans="1:13">
      <c r="A7" s="16" t="s">
        <v>1047</v>
      </c>
      <c r="B7" s="16">
        <v>367</v>
      </c>
      <c r="C7" s="16">
        <v>11</v>
      </c>
      <c r="D7" s="171">
        <v>1.1000000000000001</v>
      </c>
      <c r="E7" s="16"/>
      <c r="F7" s="167" t="s">
        <v>1048</v>
      </c>
      <c r="G7" s="16">
        <v>341</v>
      </c>
      <c r="H7" s="16">
        <v>11.4</v>
      </c>
      <c r="I7" s="16">
        <v>2.1</v>
      </c>
      <c r="J7" s="151"/>
      <c r="K7" s="151"/>
      <c r="L7" s="151"/>
      <c r="M7" s="151"/>
    </row>
    <row r="8" spans="1:13">
      <c r="A8" s="16" t="s">
        <v>1049</v>
      </c>
      <c r="B8" s="16">
        <v>382</v>
      </c>
      <c r="C8" s="16">
        <v>29.1</v>
      </c>
      <c r="D8" s="171">
        <v>10.7</v>
      </c>
      <c r="E8" s="16"/>
      <c r="F8" s="167" t="s">
        <v>1050</v>
      </c>
      <c r="G8" s="16">
        <v>388</v>
      </c>
      <c r="H8" s="16">
        <v>16</v>
      </c>
      <c r="I8" s="16">
        <v>6</v>
      </c>
      <c r="J8" s="151"/>
      <c r="K8" s="151"/>
      <c r="L8" s="151"/>
      <c r="M8" s="151"/>
    </row>
    <row r="9" spans="1:13">
      <c r="A9" s="16" t="s">
        <v>1051</v>
      </c>
      <c r="B9" s="16">
        <v>249</v>
      </c>
      <c r="C9" s="16">
        <v>8.1999999999999993</v>
      </c>
      <c r="D9" s="171">
        <v>1.2</v>
      </c>
      <c r="E9" s="16"/>
      <c r="F9" s="167" t="s">
        <v>1052</v>
      </c>
      <c r="G9" s="16">
        <v>340</v>
      </c>
      <c r="H9" s="16">
        <v>8</v>
      </c>
      <c r="I9" s="16">
        <v>1.5</v>
      </c>
      <c r="J9" s="151"/>
      <c r="K9" s="151"/>
      <c r="L9" s="151"/>
      <c r="M9" s="151"/>
    </row>
    <row r="10" spans="1:13">
      <c r="A10" s="16" t="s">
        <v>1053</v>
      </c>
      <c r="B10" s="16">
        <v>345</v>
      </c>
      <c r="C10" s="16">
        <v>12.3</v>
      </c>
      <c r="D10" s="171">
        <v>2</v>
      </c>
      <c r="E10" s="16"/>
      <c r="F10" s="167" t="s">
        <v>1054</v>
      </c>
      <c r="G10" s="16">
        <v>364</v>
      </c>
      <c r="H10" s="16">
        <v>10</v>
      </c>
      <c r="I10" s="16">
        <v>1.1000000000000001</v>
      </c>
      <c r="J10" s="151"/>
      <c r="K10" s="151"/>
      <c r="L10" s="151"/>
      <c r="M10" s="151"/>
    </row>
    <row r="11" spans="1:13">
      <c r="A11" s="16" t="s">
        <v>1055</v>
      </c>
      <c r="B11" s="16">
        <v>369</v>
      </c>
      <c r="C11" s="16">
        <v>7.4</v>
      </c>
      <c r="D11" s="171">
        <v>17</v>
      </c>
      <c r="E11" s="16"/>
      <c r="F11" s="167" t="s">
        <v>1056</v>
      </c>
      <c r="G11" s="16">
        <v>340</v>
      </c>
      <c r="H11" s="16">
        <v>8</v>
      </c>
      <c r="I11" s="16">
        <v>1.5</v>
      </c>
      <c r="J11" s="151"/>
      <c r="K11" s="151"/>
      <c r="L11" s="151"/>
      <c r="M11" s="151"/>
    </row>
    <row r="12" spans="1:13">
      <c r="A12" s="16" t="s">
        <v>1057</v>
      </c>
      <c r="B12" s="16">
        <v>362</v>
      </c>
      <c r="C12" s="16">
        <v>0.5</v>
      </c>
      <c r="D12" s="171">
        <v>0.3</v>
      </c>
      <c r="E12" s="16"/>
      <c r="F12" s="167" t="s">
        <v>1058</v>
      </c>
      <c r="G12" s="16">
        <v>439</v>
      </c>
      <c r="H12" s="16">
        <v>9.1999999999999993</v>
      </c>
      <c r="I12" s="16">
        <v>13.1</v>
      </c>
      <c r="J12" s="151"/>
      <c r="K12" s="151"/>
      <c r="L12" s="151"/>
      <c r="M12" s="151"/>
    </row>
    <row r="13" spans="1:13">
      <c r="A13" s="16" t="s">
        <v>1059</v>
      </c>
      <c r="B13" s="16">
        <v>380</v>
      </c>
      <c r="C13" s="16">
        <v>95</v>
      </c>
      <c r="D13" s="171">
        <v>0</v>
      </c>
      <c r="E13" s="16"/>
      <c r="F13" s="167" t="s">
        <v>1060</v>
      </c>
      <c r="G13" s="16">
        <v>364</v>
      </c>
      <c r="H13" s="16">
        <v>10</v>
      </c>
      <c r="I13" s="16">
        <v>1.1000000000000001</v>
      </c>
      <c r="J13" s="151"/>
      <c r="K13" s="151"/>
      <c r="L13" s="151"/>
      <c r="M13" s="151"/>
    </row>
    <row r="14" spans="1:13">
      <c r="A14" s="16" t="s">
        <v>1061</v>
      </c>
      <c r="B14" s="16">
        <v>280</v>
      </c>
      <c r="C14" s="16">
        <v>6</v>
      </c>
      <c r="D14" s="171">
        <v>1.4</v>
      </c>
      <c r="E14" s="16"/>
      <c r="F14" s="167" t="s">
        <v>1062</v>
      </c>
      <c r="G14" s="16">
        <v>389</v>
      </c>
      <c r="H14" s="16">
        <v>7.4</v>
      </c>
      <c r="I14" s="16">
        <v>0.7</v>
      </c>
      <c r="J14" s="151"/>
      <c r="K14" s="151"/>
      <c r="L14" s="151"/>
      <c r="M14" s="151"/>
    </row>
    <row r="15" spans="1:13">
      <c r="A15" s="16" t="s">
        <v>1063</v>
      </c>
      <c r="B15" s="16">
        <v>357</v>
      </c>
      <c r="C15" s="16">
        <v>7.5</v>
      </c>
      <c r="D15" s="171">
        <v>1.8</v>
      </c>
      <c r="E15" s="16"/>
      <c r="F15" s="167" t="s">
        <v>1064</v>
      </c>
      <c r="G15" s="16">
        <v>364</v>
      </c>
      <c r="H15" s="16">
        <v>10</v>
      </c>
      <c r="I15" s="16">
        <v>1.1000000000000001</v>
      </c>
      <c r="J15" s="151"/>
      <c r="K15" s="151"/>
      <c r="L15" s="151"/>
      <c r="M15" s="151"/>
    </row>
    <row r="16" spans="1:13">
      <c r="A16" s="16" t="s">
        <v>1065</v>
      </c>
      <c r="B16" s="16">
        <v>360</v>
      </c>
      <c r="C16" s="16">
        <v>6.7</v>
      </c>
      <c r="D16" s="171">
        <v>0.7</v>
      </c>
      <c r="E16" s="16"/>
      <c r="F16" s="167" t="s">
        <v>1066</v>
      </c>
      <c r="G16" s="16">
        <v>393</v>
      </c>
      <c r="H16" s="16">
        <v>6.2</v>
      </c>
      <c r="I16" s="16">
        <v>12</v>
      </c>
      <c r="J16" s="151"/>
      <c r="K16" s="151"/>
      <c r="L16" s="151"/>
      <c r="M16" s="151"/>
    </row>
    <row r="17" spans="1:13">
      <c r="A17" s="16" t="s">
        <v>1067</v>
      </c>
      <c r="B17" s="16">
        <v>360</v>
      </c>
      <c r="C17" s="16">
        <v>6.7</v>
      </c>
      <c r="D17" s="171">
        <v>0.7</v>
      </c>
      <c r="E17" s="16"/>
      <c r="F17" s="167" t="s">
        <v>1068</v>
      </c>
      <c r="G17" s="16">
        <v>377</v>
      </c>
      <c r="H17" s="16">
        <v>7.5</v>
      </c>
      <c r="I17" s="16">
        <v>2.7</v>
      </c>
      <c r="J17" s="151"/>
      <c r="K17" s="151"/>
      <c r="L17" s="151"/>
      <c r="M17" s="151"/>
    </row>
    <row r="18" spans="1:13">
      <c r="A18" s="16" t="s">
        <v>1069</v>
      </c>
      <c r="B18" s="16">
        <v>366</v>
      </c>
      <c r="C18" s="16">
        <v>6.4</v>
      </c>
      <c r="D18" s="171">
        <v>0.8</v>
      </c>
      <c r="E18" s="16"/>
      <c r="F18" s="167"/>
      <c r="G18" s="16"/>
      <c r="H18" s="16"/>
      <c r="I18" s="16"/>
      <c r="J18" s="151"/>
      <c r="K18" s="151"/>
      <c r="L18" s="151"/>
      <c r="M18" s="151"/>
    </row>
    <row r="19" spans="1:13">
      <c r="A19" s="16" t="s">
        <v>1070</v>
      </c>
      <c r="B19" s="16">
        <v>380</v>
      </c>
      <c r="C19" s="16">
        <v>95</v>
      </c>
      <c r="D19" s="171">
        <v>0</v>
      </c>
      <c r="E19" s="16"/>
      <c r="F19" s="165" t="s">
        <v>1071</v>
      </c>
      <c r="G19" s="68"/>
      <c r="H19" s="16"/>
      <c r="I19" s="16"/>
      <c r="J19" s="151"/>
      <c r="K19" s="151"/>
      <c r="L19" s="151"/>
      <c r="M19" s="151"/>
    </row>
    <row r="20" spans="1:13">
      <c r="A20" s="16" t="s">
        <v>1072</v>
      </c>
      <c r="B20" s="16">
        <v>362</v>
      </c>
      <c r="C20" s="16">
        <v>0.5</v>
      </c>
      <c r="D20" s="171">
        <v>0.3</v>
      </c>
      <c r="E20" s="16"/>
      <c r="F20" s="167" t="s">
        <v>1073</v>
      </c>
      <c r="G20" s="16">
        <v>67</v>
      </c>
      <c r="H20" s="16">
        <v>1.6</v>
      </c>
      <c r="I20" s="16">
        <v>0.1</v>
      </c>
      <c r="J20" s="151"/>
      <c r="K20" s="151"/>
      <c r="L20" s="151"/>
      <c r="M20" s="151"/>
    </row>
    <row r="21" spans="1:13">
      <c r="A21" s="16" t="s">
        <v>1074</v>
      </c>
      <c r="B21" s="16">
        <v>276</v>
      </c>
      <c r="C21" s="16">
        <v>13.3</v>
      </c>
      <c r="D21" s="171">
        <v>15.8</v>
      </c>
      <c r="E21" s="16"/>
      <c r="F21" s="167" t="s">
        <v>1075</v>
      </c>
      <c r="G21" s="16">
        <v>349</v>
      </c>
      <c r="H21" s="16">
        <v>8.5</v>
      </c>
      <c r="I21" s="16">
        <v>0.4</v>
      </c>
      <c r="J21" s="151"/>
      <c r="K21" s="151"/>
      <c r="L21" s="151"/>
      <c r="M21" s="151"/>
    </row>
    <row r="22" spans="1:13">
      <c r="A22" s="16" t="s">
        <v>1076</v>
      </c>
      <c r="B22" s="16">
        <v>332</v>
      </c>
      <c r="C22" s="16">
        <v>11</v>
      </c>
      <c r="D22" s="171">
        <v>1.8</v>
      </c>
      <c r="E22" s="16"/>
      <c r="F22" s="167" t="s">
        <v>1077</v>
      </c>
      <c r="G22" s="16">
        <v>73</v>
      </c>
      <c r="H22" s="16">
        <v>1.2</v>
      </c>
      <c r="I22" s="16">
        <v>0</v>
      </c>
      <c r="J22" s="151"/>
      <c r="K22" s="151"/>
      <c r="L22" s="151"/>
      <c r="M22" s="151"/>
    </row>
    <row r="23" spans="1:13">
      <c r="A23" s="16" t="s">
        <v>1078</v>
      </c>
      <c r="B23" s="16">
        <v>348</v>
      </c>
      <c r="C23" s="16">
        <v>9.6</v>
      </c>
      <c r="D23" s="171">
        <v>1.1000000000000001</v>
      </c>
      <c r="E23" s="16"/>
      <c r="F23" s="167" t="s">
        <v>1079</v>
      </c>
      <c r="G23" s="16">
        <v>362</v>
      </c>
      <c r="H23" s="16">
        <v>0.5</v>
      </c>
      <c r="I23" s="16">
        <v>0.3</v>
      </c>
      <c r="J23" s="151"/>
      <c r="K23" s="151"/>
      <c r="L23" s="151"/>
      <c r="M23" s="151"/>
    </row>
    <row r="24" spans="1:13">
      <c r="A24" s="16" t="s">
        <v>1080</v>
      </c>
      <c r="B24" s="16">
        <v>346</v>
      </c>
      <c r="C24" s="16">
        <v>9</v>
      </c>
      <c r="D24" s="171">
        <v>1.4</v>
      </c>
      <c r="E24" s="16"/>
      <c r="F24" s="167" t="s">
        <v>1081</v>
      </c>
      <c r="G24" s="16">
        <v>362</v>
      </c>
      <c r="H24" s="16">
        <v>0.5</v>
      </c>
      <c r="I24" s="16">
        <v>0.3</v>
      </c>
      <c r="J24" s="151"/>
      <c r="K24" s="151"/>
      <c r="L24" s="151"/>
      <c r="M24" s="151"/>
    </row>
    <row r="25" spans="1:13">
      <c r="A25" s="16" t="s">
        <v>1082</v>
      </c>
      <c r="B25" s="16">
        <v>343</v>
      </c>
      <c r="C25" s="16">
        <v>9.1999999999999993</v>
      </c>
      <c r="D25" s="171">
        <v>1.7</v>
      </c>
      <c r="E25" s="16"/>
      <c r="F25" s="167" t="s">
        <v>1083</v>
      </c>
      <c r="G25" s="16">
        <v>92</v>
      </c>
      <c r="H25" s="16">
        <v>0.7</v>
      </c>
      <c r="I25" s="16">
        <v>0.2</v>
      </c>
      <c r="J25" s="151"/>
      <c r="K25" s="151"/>
      <c r="L25" s="151"/>
      <c r="M25" s="151"/>
    </row>
    <row r="26" spans="1:13">
      <c r="A26" s="16" t="s">
        <v>1084</v>
      </c>
      <c r="B26" s="16">
        <v>368</v>
      </c>
      <c r="C26" s="16">
        <v>13.1</v>
      </c>
      <c r="D26" s="171">
        <v>1.9</v>
      </c>
      <c r="E26" s="16"/>
      <c r="F26" s="167" t="s">
        <v>1085</v>
      </c>
      <c r="G26" s="16">
        <v>109</v>
      </c>
      <c r="H26" s="16">
        <v>0.9</v>
      </c>
      <c r="I26" s="16">
        <v>0.2</v>
      </c>
      <c r="J26" s="151"/>
      <c r="K26" s="151"/>
      <c r="L26" s="151"/>
      <c r="M26" s="151"/>
    </row>
    <row r="27" spans="1:13">
      <c r="A27" s="16" t="s">
        <v>1086</v>
      </c>
      <c r="B27" s="16">
        <v>367</v>
      </c>
      <c r="C27" s="16">
        <v>6</v>
      </c>
      <c r="D27" s="171">
        <v>0</v>
      </c>
      <c r="E27" s="16"/>
      <c r="F27" s="167" t="s">
        <v>1087</v>
      </c>
      <c r="G27" s="16">
        <v>338</v>
      </c>
      <c r="H27" s="16">
        <v>1.5</v>
      </c>
      <c r="I27" s="16">
        <v>0.6</v>
      </c>
      <c r="J27" s="151"/>
      <c r="K27" s="151"/>
      <c r="L27" s="151"/>
      <c r="M27" s="151"/>
    </row>
    <row r="28" spans="1:13">
      <c r="A28" s="16" t="s">
        <v>1088</v>
      </c>
      <c r="B28" s="16">
        <v>356</v>
      </c>
      <c r="C28" s="16">
        <v>9.5</v>
      </c>
      <c r="D28" s="171">
        <v>4.3</v>
      </c>
      <c r="E28" s="16"/>
      <c r="F28" s="167" t="s">
        <v>1089</v>
      </c>
      <c r="G28" s="16">
        <v>362</v>
      </c>
      <c r="H28" s="16">
        <v>0.5</v>
      </c>
      <c r="I28" s="16">
        <v>0.3</v>
      </c>
      <c r="J28" s="151"/>
      <c r="K28" s="151"/>
      <c r="L28" s="151"/>
      <c r="M28" s="151"/>
    </row>
    <row r="29" spans="1:13">
      <c r="A29" s="16" t="s">
        <v>1090</v>
      </c>
      <c r="B29" s="16">
        <v>373</v>
      </c>
      <c r="C29" s="16">
        <v>11.1</v>
      </c>
      <c r="D29" s="171">
        <v>38.5</v>
      </c>
      <c r="E29" s="16"/>
      <c r="F29" s="167" t="s">
        <v>1091</v>
      </c>
      <c r="G29" s="16">
        <v>255</v>
      </c>
      <c r="H29" s="16">
        <v>2.8</v>
      </c>
      <c r="I29" s="16">
        <v>0.7</v>
      </c>
      <c r="J29" s="151"/>
      <c r="K29" s="151"/>
      <c r="L29" s="151"/>
      <c r="M29" s="151"/>
    </row>
    <row r="30" spans="1:13">
      <c r="A30" s="16" t="s">
        <v>1092</v>
      </c>
      <c r="B30" s="16">
        <v>363</v>
      </c>
      <c r="C30" s="16">
        <v>8.4</v>
      </c>
      <c r="D30" s="171">
        <v>1.2</v>
      </c>
      <c r="E30" s="16"/>
      <c r="F30" s="167" t="s">
        <v>1093</v>
      </c>
      <c r="G30" s="16">
        <v>362</v>
      </c>
      <c r="H30" s="16">
        <v>0.5</v>
      </c>
      <c r="I30" s="16">
        <v>0.3</v>
      </c>
      <c r="J30" s="151"/>
      <c r="K30" s="151"/>
      <c r="L30" s="151"/>
      <c r="M30" s="151"/>
    </row>
    <row r="31" spans="1:13">
      <c r="A31" s="16" t="s">
        <v>1094</v>
      </c>
      <c r="B31" s="16">
        <v>380</v>
      </c>
      <c r="C31" s="16">
        <v>95</v>
      </c>
      <c r="D31" s="171">
        <v>0</v>
      </c>
      <c r="E31" s="16"/>
      <c r="F31" s="167" t="s">
        <v>1095</v>
      </c>
      <c r="G31" s="16">
        <v>109</v>
      </c>
      <c r="H31" s="16">
        <v>1.7</v>
      </c>
      <c r="I31" s="16">
        <v>0.3</v>
      </c>
      <c r="J31" s="151"/>
      <c r="K31" s="151"/>
      <c r="L31" s="151"/>
      <c r="M31" s="151"/>
    </row>
    <row r="32" spans="1:13">
      <c r="A32" s="16" t="s">
        <v>1096</v>
      </c>
      <c r="B32" s="16">
        <v>362</v>
      </c>
      <c r="C32" s="16">
        <v>0.5</v>
      </c>
      <c r="D32" s="171">
        <v>0.3</v>
      </c>
      <c r="E32" s="16"/>
      <c r="F32" s="167" t="s">
        <v>1097</v>
      </c>
      <c r="G32" s="16">
        <v>86</v>
      </c>
      <c r="H32" s="16">
        <v>1.5</v>
      </c>
      <c r="I32" s="16">
        <v>0.2</v>
      </c>
      <c r="J32" s="151"/>
      <c r="K32" s="151"/>
      <c r="L32" s="151"/>
      <c r="M32" s="151"/>
    </row>
    <row r="33" spans="1:13">
      <c r="A33" s="16" t="s">
        <v>1098</v>
      </c>
      <c r="B33" s="16">
        <v>356</v>
      </c>
      <c r="C33" s="16">
        <v>9.5</v>
      </c>
      <c r="D33" s="171">
        <v>4.3</v>
      </c>
      <c r="E33" s="16"/>
      <c r="F33" s="167" t="s">
        <v>1099</v>
      </c>
      <c r="G33" s="16">
        <v>101</v>
      </c>
      <c r="H33" s="16">
        <v>1.3</v>
      </c>
      <c r="I33" s="16">
        <v>0.2</v>
      </c>
      <c r="J33" s="151"/>
      <c r="K33" s="151"/>
      <c r="L33" s="151"/>
      <c r="M33" s="151"/>
    </row>
    <row r="34" spans="1:13">
      <c r="A34" s="16" t="s">
        <v>12</v>
      </c>
      <c r="B34" s="16">
        <v>319</v>
      </c>
      <c r="C34" s="16">
        <v>11</v>
      </c>
      <c r="D34" s="171">
        <v>1.9</v>
      </c>
      <c r="E34" s="16"/>
      <c r="F34" s="167" t="s">
        <v>1100</v>
      </c>
      <c r="G34" s="16">
        <v>91</v>
      </c>
      <c r="H34" s="16">
        <v>1.6</v>
      </c>
      <c r="I34" s="16">
        <v>0.2</v>
      </c>
      <c r="J34" s="151"/>
      <c r="K34" s="151"/>
      <c r="L34" s="151"/>
      <c r="M34" s="151"/>
    </row>
    <row r="35" spans="1:13">
      <c r="A35" s="16" t="s">
        <v>1101</v>
      </c>
      <c r="B35" s="16">
        <v>341</v>
      </c>
      <c r="C35" s="16">
        <v>9</v>
      </c>
      <c r="D35" s="171">
        <v>1.8</v>
      </c>
      <c r="E35" s="16"/>
      <c r="F35" s="167" t="s">
        <v>1102</v>
      </c>
      <c r="G35" s="16">
        <v>282</v>
      </c>
      <c r="H35" s="16">
        <v>5</v>
      </c>
      <c r="I35" s="16">
        <v>0.6</v>
      </c>
      <c r="J35" s="151"/>
      <c r="K35" s="151"/>
      <c r="L35" s="151"/>
      <c r="M35" s="151"/>
    </row>
    <row r="36" spans="1:13">
      <c r="A36" s="16" t="s">
        <v>2</v>
      </c>
      <c r="B36" s="16">
        <v>385</v>
      </c>
      <c r="C36" s="16">
        <v>13</v>
      </c>
      <c r="D36" s="171">
        <v>7.5</v>
      </c>
      <c r="E36" s="16"/>
      <c r="F36" s="167" t="s">
        <v>1103</v>
      </c>
      <c r="G36" s="16">
        <v>282</v>
      </c>
      <c r="H36" s="16">
        <v>5</v>
      </c>
      <c r="I36" s="16">
        <v>0.6</v>
      </c>
      <c r="J36" s="151"/>
      <c r="K36" s="151"/>
      <c r="L36" s="151"/>
      <c r="M36" s="151"/>
    </row>
    <row r="37" spans="1:13">
      <c r="A37" s="16" t="s">
        <v>1104</v>
      </c>
      <c r="B37" s="16">
        <v>384</v>
      </c>
      <c r="C37" s="16">
        <v>16</v>
      </c>
      <c r="D37" s="171">
        <v>6.3</v>
      </c>
      <c r="E37" s="16"/>
      <c r="F37" s="167"/>
      <c r="G37" s="152">
        <f>AVERAGE(G20:G36)</f>
        <v>216.58823529411765</v>
      </c>
      <c r="H37" s="152">
        <f t="shared" ref="H37:I37" si="0">AVERAGE(H20:H36)</f>
        <v>2.0764705882352938</v>
      </c>
      <c r="I37" s="152">
        <f t="shared" si="0"/>
        <v>0.32352941176470584</v>
      </c>
      <c r="J37" s="151"/>
      <c r="K37" s="151"/>
      <c r="L37" s="151"/>
      <c r="M37" s="151"/>
    </row>
    <row r="38" spans="1:13">
      <c r="A38" s="16" t="s">
        <v>1105</v>
      </c>
      <c r="B38" s="16">
        <v>340</v>
      </c>
      <c r="C38" s="16">
        <v>9.6999999999999993</v>
      </c>
      <c r="D38" s="171">
        <v>3</v>
      </c>
      <c r="E38" s="16"/>
      <c r="F38" s="165" t="s">
        <v>1106</v>
      </c>
      <c r="G38" s="16"/>
      <c r="H38" s="16"/>
      <c r="I38" s="16"/>
      <c r="J38" s="151"/>
      <c r="K38" s="151"/>
      <c r="L38" s="151"/>
      <c r="M38" s="151"/>
    </row>
    <row r="39" spans="1:13">
      <c r="A39" s="16" t="s">
        <v>1107</v>
      </c>
      <c r="B39" s="16">
        <v>340</v>
      </c>
      <c r="C39" s="16">
        <v>9.6999999999999993</v>
      </c>
      <c r="D39" s="171">
        <v>3</v>
      </c>
      <c r="E39" s="16"/>
      <c r="F39" s="167" t="s">
        <v>1108</v>
      </c>
      <c r="G39" s="16">
        <v>30</v>
      </c>
      <c r="H39" s="16">
        <v>0.2</v>
      </c>
      <c r="I39" s="16">
        <v>0</v>
      </c>
      <c r="J39" s="151"/>
      <c r="K39" s="151"/>
      <c r="L39" s="151"/>
      <c r="M39" s="151"/>
    </row>
    <row r="40" spans="1:13">
      <c r="A40" s="16" t="s">
        <v>11</v>
      </c>
      <c r="B40" s="16">
        <v>343</v>
      </c>
      <c r="C40" s="16">
        <v>10.1</v>
      </c>
      <c r="D40" s="171">
        <v>3.3</v>
      </c>
      <c r="E40" s="16"/>
      <c r="F40" s="167" t="s">
        <v>1109</v>
      </c>
      <c r="G40" s="16">
        <v>70</v>
      </c>
      <c r="H40" s="16">
        <v>1.3</v>
      </c>
      <c r="I40" s="16">
        <v>0.1</v>
      </c>
      <c r="J40" s="151"/>
      <c r="K40" s="151"/>
      <c r="L40" s="151"/>
      <c r="M40" s="151"/>
    </row>
    <row r="41" spans="1:13">
      <c r="A41" s="16" t="s">
        <v>1110</v>
      </c>
      <c r="B41" s="16">
        <v>343</v>
      </c>
      <c r="C41" s="16">
        <v>10.1</v>
      </c>
      <c r="D41" s="171">
        <v>3.3</v>
      </c>
      <c r="E41" s="16"/>
      <c r="F41" s="167" t="s">
        <v>1111</v>
      </c>
      <c r="G41" s="16">
        <v>390</v>
      </c>
      <c r="H41" s="16">
        <v>0</v>
      </c>
      <c r="I41" s="16">
        <v>0</v>
      </c>
      <c r="J41" s="151"/>
      <c r="K41" s="151"/>
      <c r="L41" s="151"/>
      <c r="M41" s="151"/>
    </row>
    <row r="42" spans="1:13">
      <c r="A42" s="16" t="s">
        <v>10</v>
      </c>
      <c r="B42" s="16">
        <v>330</v>
      </c>
      <c r="C42" s="16">
        <v>11</v>
      </c>
      <c r="D42" s="171">
        <v>2</v>
      </c>
      <c r="E42" s="16"/>
      <c r="F42" s="167" t="s">
        <v>1112</v>
      </c>
      <c r="G42" s="16">
        <v>373</v>
      </c>
      <c r="H42" s="16">
        <v>0</v>
      </c>
      <c r="I42" s="16">
        <v>0</v>
      </c>
      <c r="J42" s="151"/>
      <c r="K42" s="151"/>
      <c r="L42" s="151"/>
      <c r="M42" s="151"/>
    </row>
    <row r="43" spans="1:13">
      <c r="A43" s="16" t="s">
        <v>1113</v>
      </c>
      <c r="B43" s="16">
        <v>344</v>
      </c>
      <c r="C43" s="16">
        <v>6.4</v>
      </c>
      <c r="D43" s="171">
        <v>1.2</v>
      </c>
      <c r="E43" s="16"/>
      <c r="F43" s="167" t="s">
        <v>1114</v>
      </c>
      <c r="G43" s="16">
        <v>387</v>
      </c>
      <c r="H43" s="16">
        <v>0</v>
      </c>
      <c r="I43" s="16">
        <v>0</v>
      </c>
      <c r="J43" s="151"/>
      <c r="K43" s="151"/>
      <c r="L43" s="151"/>
      <c r="M43" s="151"/>
    </row>
    <row r="44" spans="1:13">
      <c r="A44" s="151"/>
      <c r="B44" s="153">
        <f>AVERAGE(B4:B43,G3:G17)</f>
        <v>351.45454545454544</v>
      </c>
      <c r="C44" s="153">
        <f t="shared" ref="C44:D44" si="1">AVERAGE(C4:C43,H3:H17)</f>
        <v>14.23636363636364</v>
      </c>
      <c r="D44" s="153">
        <f t="shared" si="1"/>
        <v>3.732727272727272</v>
      </c>
      <c r="E44" s="151"/>
      <c r="F44" s="168"/>
      <c r="G44" s="153"/>
      <c r="H44" s="153"/>
      <c r="I44" s="153"/>
      <c r="J44" s="151"/>
      <c r="K44" s="151"/>
      <c r="L44" s="151"/>
      <c r="M44" s="151"/>
    </row>
    <row r="45" spans="1:13" ht="19">
      <c r="A45" s="154"/>
      <c r="B45" s="151"/>
      <c r="C45" s="151"/>
      <c r="D45" s="173"/>
      <c r="E45" s="151"/>
      <c r="F45" s="168"/>
      <c r="G45" s="151"/>
      <c r="H45" s="151"/>
      <c r="I45" s="151"/>
      <c r="J45" s="151"/>
      <c r="K45" s="151"/>
      <c r="L45" s="151"/>
      <c r="M45" s="151"/>
    </row>
    <row r="46" spans="1:13">
      <c r="A46" s="151"/>
      <c r="B46" s="151"/>
      <c r="C46" s="151"/>
      <c r="D46" s="173"/>
      <c r="E46" s="151"/>
      <c r="F46" s="168"/>
      <c r="G46" s="151"/>
      <c r="H46" s="151"/>
      <c r="I46" s="151"/>
      <c r="J46" s="151"/>
      <c r="K46" s="151"/>
      <c r="L46" s="151"/>
      <c r="M46" s="151"/>
    </row>
    <row r="47" spans="1:13">
      <c r="A47" s="16" t="s">
        <v>1115</v>
      </c>
      <c r="B47" s="16">
        <v>351</v>
      </c>
      <c r="C47" s="16">
        <v>1</v>
      </c>
      <c r="D47" s="171">
        <v>0</v>
      </c>
      <c r="E47" s="16"/>
      <c r="F47" s="167" t="s">
        <v>1116</v>
      </c>
      <c r="G47" s="16">
        <v>261</v>
      </c>
      <c r="H47" s="16">
        <v>46</v>
      </c>
      <c r="I47" s="16">
        <v>5</v>
      </c>
      <c r="J47" s="151"/>
      <c r="K47" s="151"/>
      <c r="L47" s="151"/>
      <c r="M47" s="151"/>
    </row>
    <row r="48" spans="1:13">
      <c r="A48" s="16" t="s">
        <v>1117</v>
      </c>
      <c r="B48" s="16">
        <v>232</v>
      </c>
      <c r="C48" s="16">
        <v>0</v>
      </c>
      <c r="D48" s="171">
        <v>0</v>
      </c>
      <c r="E48" s="16"/>
      <c r="F48" s="167" t="s">
        <v>1118</v>
      </c>
      <c r="G48" s="16">
        <v>56</v>
      </c>
      <c r="H48" s="16">
        <v>5.5</v>
      </c>
      <c r="I48" s="16">
        <v>0.5</v>
      </c>
      <c r="J48" s="151"/>
      <c r="K48" s="151"/>
      <c r="L48" s="151"/>
      <c r="M48" s="151"/>
    </row>
    <row r="49" spans="1:13">
      <c r="A49" s="16" t="s">
        <v>1119</v>
      </c>
      <c r="B49" s="16">
        <v>348</v>
      </c>
      <c r="C49" s="16">
        <v>0</v>
      </c>
      <c r="D49" s="171">
        <v>0</v>
      </c>
      <c r="E49" s="16"/>
      <c r="F49" s="167" t="s">
        <v>1120</v>
      </c>
      <c r="G49" s="16">
        <v>114</v>
      </c>
      <c r="H49" s="16">
        <v>11</v>
      </c>
      <c r="I49" s="16">
        <v>5.8</v>
      </c>
      <c r="J49" s="151"/>
      <c r="K49" s="151"/>
      <c r="L49" s="151"/>
      <c r="M49" s="151"/>
    </row>
    <row r="50" spans="1:13">
      <c r="A50" s="16" t="s">
        <v>1121</v>
      </c>
      <c r="B50" s="16">
        <v>310</v>
      </c>
      <c r="C50" s="16">
        <v>0</v>
      </c>
      <c r="D50" s="171">
        <v>0</v>
      </c>
      <c r="E50" s="16"/>
      <c r="F50" s="167" t="s">
        <v>1122</v>
      </c>
      <c r="G50" s="16">
        <v>58</v>
      </c>
      <c r="H50" s="16">
        <v>6.3</v>
      </c>
      <c r="I50" s="16">
        <v>3.1</v>
      </c>
      <c r="J50" s="151"/>
      <c r="K50" s="151"/>
      <c r="L50" s="151"/>
      <c r="M50" s="151"/>
    </row>
    <row r="51" spans="1:13">
      <c r="A51" s="16" t="s">
        <v>1123</v>
      </c>
      <c r="B51" s="16">
        <v>310</v>
      </c>
      <c r="C51" s="16">
        <v>0</v>
      </c>
      <c r="D51" s="171">
        <v>0</v>
      </c>
      <c r="E51" s="16"/>
      <c r="F51" s="167" t="s">
        <v>1124</v>
      </c>
      <c r="G51" s="16">
        <v>414</v>
      </c>
      <c r="H51" s="16">
        <v>18.7</v>
      </c>
      <c r="I51" s="16">
        <v>35.9</v>
      </c>
      <c r="J51" s="151"/>
      <c r="K51" s="151"/>
      <c r="L51" s="151"/>
      <c r="M51" s="151"/>
    </row>
    <row r="52" spans="1:13">
      <c r="A52" s="16" t="s">
        <v>1125</v>
      </c>
      <c r="B52" s="16">
        <v>310</v>
      </c>
      <c r="C52" s="16">
        <v>0</v>
      </c>
      <c r="D52" s="171">
        <v>0</v>
      </c>
      <c r="E52" s="16"/>
      <c r="F52" s="167" t="s">
        <v>1126</v>
      </c>
      <c r="G52" s="16">
        <v>567</v>
      </c>
      <c r="H52" s="16">
        <v>25.7</v>
      </c>
      <c r="I52" s="16">
        <v>49.2</v>
      </c>
      <c r="J52" s="151"/>
      <c r="K52" s="151"/>
      <c r="L52" s="151"/>
      <c r="M52" s="151"/>
    </row>
    <row r="53" spans="1:13">
      <c r="A53" s="16" t="s">
        <v>1127</v>
      </c>
      <c r="B53" s="16">
        <v>368</v>
      </c>
      <c r="C53" s="16">
        <v>0</v>
      </c>
      <c r="D53" s="171">
        <v>0</v>
      </c>
      <c r="E53" s="16"/>
      <c r="F53" s="167" t="s">
        <v>1128</v>
      </c>
      <c r="G53" s="16">
        <v>363</v>
      </c>
      <c r="H53" s="16">
        <v>41.7</v>
      </c>
      <c r="I53" s="16">
        <v>7.6</v>
      </c>
      <c r="J53" s="151"/>
      <c r="K53" s="151"/>
      <c r="L53" s="151"/>
      <c r="M53" s="151"/>
    </row>
    <row r="54" spans="1:13">
      <c r="A54" s="16" t="s">
        <v>1129</v>
      </c>
      <c r="B54" s="16">
        <v>387</v>
      </c>
      <c r="C54" s="16">
        <v>0</v>
      </c>
      <c r="D54" s="171">
        <v>0</v>
      </c>
      <c r="E54" s="16"/>
      <c r="F54" s="167" t="s">
        <v>1130</v>
      </c>
      <c r="G54" s="16">
        <v>580</v>
      </c>
      <c r="H54" s="16">
        <v>26.8</v>
      </c>
      <c r="I54" s="16">
        <v>49.2</v>
      </c>
      <c r="J54" s="151"/>
      <c r="K54" s="151"/>
      <c r="L54" s="151"/>
      <c r="M54" s="151"/>
    </row>
    <row r="55" spans="1:13">
      <c r="A55" s="16" t="s">
        <v>1131</v>
      </c>
      <c r="B55" s="16">
        <v>318</v>
      </c>
      <c r="C55" s="16">
        <v>0</v>
      </c>
      <c r="D55" s="171">
        <v>0</v>
      </c>
      <c r="E55" s="16"/>
      <c r="F55" s="167" t="s">
        <v>1132</v>
      </c>
      <c r="G55" s="16">
        <v>589</v>
      </c>
      <c r="H55" s="16">
        <v>24.3</v>
      </c>
      <c r="I55" s="16">
        <v>50</v>
      </c>
      <c r="J55" s="151"/>
      <c r="K55" s="151"/>
      <c r="L55" s="151"/>
      <c r="M55" s="151"/>
    </row>
    <row r="56" spans="1:13">
      <c r="A56" s="16" t="s">
        <v>1133</v>
      </c>
      <c r="B56" s="16">
        <v>375</v>
      </c>
      <c r="C56" s="16">
        <v>0</v>
      </c>
      <c r="D56" s="171">
        <v>0</v>
      </c>
      <c r="E56" s="16"/>
      <c r="F56" s="167" t="s">
        <v>1134</v>
      </c>
      <c r="G56" s="16">
        <v>184</v>
      </c>
      <c r="H56" s="16">
        <v>1.7</v>
      </c>
      <c r="I56" s="16">
        <v>17.399999999999999</v>
      </c>
      <c r="J56" s="151"/>
      <c r="K56" s="151"/>
      <c r="L56" s="151"/>
      <c r="M56" s="151"/>
    </row>
    <row r="57" spans="1:13">
      <c r="A57" s="16" t="s">
        <v>1135</v>
      </c>
      <c r="B57" s="16">
        <v>298</v>
      </c>
      <c r="C57" s="16">
        <v>0.3</v>
      </c>
      <c r="D57" s="171">
        <v>0</v>
      </c>
      <c r="E57" s="16"/>
      <c r="F57" s="167" t="s">
        <v>1136</v>
      </c>
      <c r="G57" s="16">
        <v>660</v>
      </c>
      <c r="H57" s="16">
        <v>6.9</v>
      </c>
      <c r="I57" s="16">
        <v>64.5</v>
      </c>
      <c r="J57" s="151"/>
      <c r="K57" s="151"/>
      <c r="L57" s="151"/>
      <c r="M57" s="151"/>
    </row>
    <row r="58" spans="1:13">
      <c r="A58" s="16" t="s">
        <v>1137</v>
      </c>
      <c r="B58" s="16">
        <v>375</v>
      </c>
      <c r="C58" s="16">
        <v>0</v>
      </c>
      <c r="D58" s="171">
        <v>0</v>
      </c>
      <c r="E58" s="16"/>
      <c r="F58" s="167" t="s">
        <v>1138</v>
      </c>
      <c r="G58" s="16">
        <v>636</v>
      </c>
      <c r="H58" s="16">
        <v>6</v>
      </c>
      <c r="I58" s="16">
        <v>61.4</v>
      </c>
      <c r="J58" s="151"/>
      <c r="K58" s="151"/>
      <c r="L58" s="151"/>
      <c r="M58" s="151"/>
    </row>
    <row r="59" spans="1:13">
      <c r="A59" s="16" t="s">
        <v>1139</v>
      </c>
      <c r="B59" s="16">
        <v>298</v>
      </c>
      <c r="C59" s="16">
        <v>0.4</v>
      </c>
      <c r="D59" s="171">
        <v>0</v>
      </c>
      <c r="E59" s="16"/>
      <c r="F59" s="167" t="s">
        <v>1140</v>
      </c>
      <c r="G59" s="16">
        <v>158</v>
      </c>
      <c r="H59" s="16">
        <v>0.3</v>
      </c>
      <c r="I59" s="16">
        <v>13.2</v>
      </c>
      <c r="J59" s="151"/>
      <c r="K59" s="151"/>
      <c r="L59" s="151"/>
      <c r="M59" s="151"/>
    </row>
    <row r="60" spans="1:13">
      <c r="A60" s="16"/>
      <c r="B60" s="155">
        <f>AVERAGE(G39:G43,B47:B59)</f>
        <v>307.22222222222223</v>
      </c>
      <c r="C60" s="155">
        <f t="shared" ref="C60:D60" si="2">AVERAGE(H39:H43,C47:C59)</f>
        <v>0.17777777777777776</v>
      </c>
      <c r="D60" s="155">
        <f t="shared" si="2"/>
        <v>5.5555555555555558E-3</v>
      </c>
      <c r="E60" s="16"/>
      <c r="F60" s="167" t="s">
        <v>1141</v>
      </c>
      <c r="G60" s="16">
        <v>514</v>
      </c>
      <c r="H60" s="16">
        <v>7.3</v>
      </c>
      <c r="I60" s="16">
        <v>43.4</v>
      </c>
      <c r="J60" s="151"/>
      <c r="K60" s="151"/>
      <c r="L60" s="151"/>
      <c r="M60" s="151"/>
    </row>
    <row r="61" spans="1:13">
      <c r="A61" s="68" t="s">
        <v>1142</v>
      </c>
      <c r="B61" s="16"/>
      <c r="C61" s="16"/>
      <c r="D61" s="171"/>
      <c r="E61" s="16"/>
      <c r="F61" s="167" t="s">
        <v>1143</v>
      </c>
      <c r="G61" s="16">
        <v>175</v>
      </c>
      <c r="H61" s="16">
        <v>1.3</v>
      </c>
      <c r="I61" s="16">
        <v>17.5</v>
      </c>
      <c r="J61" s="151"/>
      <c r="K61" s="151"/>
      <c r="L61" s="151"/>
      <c r="M61" s="151"/>
    </row>
    <row r="62" spans="1:13">
      <c r="A62" s="16" t="s">
        <v>1144</v>
      </c>
      <c r="B62" s="16">
        <v>341</v>
      </c>
      <c r="C62" s="16">
        <v>22.1</v>
      </c>
      <c r="D62" s="171">
        <v>1.7</v>
      </c>
      <c r="E62" s="16"/>
      <c r="F62" s="167" t="s">
        <v>1145</v>
      </c>
      <c r="G62" s="16">
        <v>109</v>
      </c>
      <c r="H62" s="16">
        <v>1.1000000000000001</v>
      </c>
      <c r="I62" s="16">
        <v>11.1</v>
      </c>
      <c r="J62" s="151"/>
      <c r="K62" s="151"/>
      <c r="L62" s="151"/>
      <c r="M62" s="151"/>
    </row>
    <row r="63" spans="1:13">
      <c r="A63" s="16" t="s">
        <v>1146</v>
      </c>
      <c r="B63" s="16">
        <v>343</v>
      </c>
      <c r="C63" s="16">
        <v>23.4</v>
      </c>
      <c r="D63" s="171">
        <v>2</v>
      </c>
      <c r="E63" s="16"/>
      <c r="F63" s="167" t="s">
        <v>1147</v>
      </c>
      <c r="G63" s="16">
        <v>579</v>
      </c>
      <c r="H63" s="16">
        <v>6.8</v>
      </c>
      <c r="I63" s="16">
        <v>49</v>
      </c>
      <c r="J63" s="151"/>
      <c r="K63" s="151"/>
      <c r="L63" s="151"/>
      <c r="M63" s="151"/>
    </row>
    <row r="64" spans="1:13">
      <c r="A64" s="16" t="s">
        <v>1148</v>
      </c>
      <c r="B64" s="16">
        <v>346</v>
      </c>
      <c r="C64" s="16">
        <v>22.5</v>
      </c>
      <c r="D64" s="171">
        <v>1.8</v>
      </c>
      <c r="E64" s="16"/>
      <c r="F64" s="167" t="s">
        <v>1149</v>
      </c>
      <c r="G64" s="16">
        <v>308</v>
      </c>
      <c r="H64" s="16">
        <v>12.3</v>
      </c>
      <c r="I64" s="16">
        <v>26.8</v>
      </c>
      <c r="J64" s="151"/>
      <c r="K64" s="151"/>
      <c r="L64" s="151"/>
      <c r="M64" s="151"/>
    </row>
    <row r="65" spans="1:13">
      <c r="A65" s="16" t="s">
        <v>1150</v>
      </c>
      <c r="B65" s="16">
        <v>358</v>
      </c>
      <c r="C65" s="16">
        <v>20.100000000000001</v>
      </c>
      <c r="D65" s="171">
        <v>4.5</v>
      </c>
      <c r="E65" s="16"/>
      <c r="F65" s="167" t="s">
        <v>1151</v>
      </c>
      <c r="G65" s="16">
        <v>494</v>
      </c>
      <c r="H65" s="16">
        <v>19.600000000000001</v>
      </c>
      <c r="I65" s="16">
        <v>45</v>
      </c>
      <c r="J65" s="151"/>
      <c r="K65" s="151"/>
      <c r="L65" s="151"/>
      <c r="M65" s="151"/>
    </row>
    <row r="66" spans="1:13">
      <c r="A66" s="16" t="s">
        <v>1152</v>
      </c>
      <c r="B66" s="16">
        <v>342</v>
      </c>
      <c r="C66" s="16">
        <v>23.4</v>
      </c>
      <c r="D66" s="171">
        <v>1.8</v>
      </c>
      <c r="E66" s="16"/>
      <c r="F66" s="167" t="s">
        <v>1153</v>
      </c>
      <c r="G66" s="16">
        <v>314</v>
      </c>
      <c r="H66" s="16">
        <v>9.6999999999999993</v>
      </c>
      <c r="I66" s="16">
        <v>30.3</v>
      </c>
      <c r="J66" s="151"/>
      <c r="K66" s="151"/>
      <c r="L66" s="151"/>
      <c r="M66" s="151"/>
    </row>
    <row r="67" spans="1:13">
      <c r="A67" s="16" t="s">
        <v>1154</v>
      </c>
      <c r="B67" s="16">
        <v>343</v>
      </c>
      <c r="C67" s="16">
        <v>20.9</v>
      </c>
      <c r="D67" s="171">
        <v>1.7</v>
      </c>
      <c r="E67" s="16"/>
      <c r="F67" s="167" t="s">
        <v>1155</v>
      </c>
      <c r="G67" s="16">
        <v>573</v>
      </c>
      <c r="H67" s="16">
        <v>17.7</v>
      </c>
      <c r="I67" s="16">
        <v>49.7</v>
      </c>
      <c r="J67" s="151"/>
      <c r="K67" s="151"/>
      <c r="L67" s="151"/>
      <c r="M67" s="151"/>
    </row>
    <row r="68" spans="1:13">
      <c r="A68" s="16" t="s">
        <v>1156</v>
      </c>
      <c r="B68" s="16">
        <v>346</v>
      </c>
      <c r="C68" s="16">
        <v>24.2</v>
      </c>
      <c r="D68" s="171">
        <v>1.8</v>
      </c>
      <c r="E68" s="16"/>
      <c r="F68" s="167" t="s">
        <v>1157</v>
      </c>
      <c r="G68" s="16">
        <v>376</v>
      </c>
      <c r="H68" s="16">
        <v>40.700000000000003</v>
      </c>
      <c r="I68" s="16">
        <v>3.4</v>
      </c>
      <c r="J68" s="151"/>
      <c r="K68" s="151"/>
      <c r="L68" s="151"/>
      <c r="M68" s="151"/>
    </row>
    <row r="69" spans="1:13">
      <c r="A69" s="16" t="s">
        <v>1158</v>
      </c>
      <c r="B69" s="16">
        <v>365</v>
      </c>
      <c r="C69" s="16">
        <v>17.7</v>
      </c>
      <c r="D69" s="171">
        <v>6.3</v>
      </c>
      <c r="E69" s="16"/>
      <c r="F69" s="167" t="s">
        <v>1159</v>
      </c>
      <c r="G69" s="16">
        <v>469</v>
      </c>
      <c r="H69" s="16">
        <v>24.9</v>
      </c>
      <c r="I69" s="16">
        <v>28.8</v>
      </c>
      <c r="J69" s="151"/>
      <c r="K69" s="151"/>
      <c r="L69" s="151"/>
      <c r="M69" s="151"/>
    </row>
    <row r="70" spans="1:13">
      <c r="A70" s="16" t="s">
        <v>1160</v>
      </c>
      <c r="B70" s="16">
        <v>325</v>
      </c>
      <c r="C70" s="16">
        <v>31.5</v>
      </c>
      <c r="D70" s="171">
        <v>1.9</v>
      </c>
      <c r="E70" s="16"/>
      <c r="F70" s="167" t="s">
        <v>1161</v>
      </c>
      <c r="G70" s="16">
        <v>469</v>
      </c>
      <c r="H70" s="16">
        <v>26.4</v>
      </c>
      <c r="I70" s="16">
        <v>36.299999999999997</v>
      </c>
      <c r="J70" s="151"/>
      <c r="K70" s="151"/>
      <c r="L70" s="151"/>
      <c r="M70" s="151"/>
    </row>
    <row r="71" spans="1:13">
      <c r="A71" s="16" t="s">
        <v>1162</v>
      </c>
      <c r="B71" s="16">
        <v>390</v>
      </c>
      <c r="C71" s="16">
        <v>40</v>
      </c>
      <c r="D71" s="171">
        <v>13</v>
      </c>
      <c r="E71" s="16"/>
      <c r="F71" s="167" t="s">
        <v>1163</v>
      </c>
      <c r="G71" s="16">
        <v>533</v>
      </c>
      <c r="H71" s="16">
        <v>18</v>
      </c>
      <c r="I71" s="16">
        <v>44.7</v>
      </c>
      <c r="J71" s="151"/>
      <c r="K71" s="151"/>
      <c r="L71" s="151"/>
      <c r="M71" s="151"/>
    </row>
    <row r="72" spans="1:13">
      <c r="A72" s="16" t="s">
        <v>1164</v>
      </c>
      <c r="B72" s="16">
        <v>340</v>
      </c>
      <c r="C72" s="16">
        <v>22</v>
      </c>
      <c r="D72" s="171">
        <v>2</v>
      </c>
      <c r="E72" s="16"/>
      <c r="F72" s="167" t="s">
        <v>1165</v>
      </c>
      <c r="G72" s="16">
        <v>400</v>
      </c>
      <c r="H72" s="16">
        <v>18.2</v>
      </c>
      <c r="I72" s="16">
        <v>33.9</v>
      </c>
      <c r="J72" s="151"/>
      <c r="K72" s="151"/>
      <c r="L72" s="151"/>
      <c r="M72" s="151"/>
    </row>
    <row r="73" spans="1:13">
      <c r="A73" s="16" t="s">
        <v>1166</v>
      </c>
      <c r="B73" s="16">
        <v>340</v>
      </c>
      <c r="C73" s="16">
        <v>22</v>
      </c>
      <c r="D73" s="171">
        <v>2</v>
      </c>
      <c r="E73" s="16"/>
      <c r="F73" s="167" t="s">
        <v>1167</v>
      </c>
      <c r="G73" s="16">
        <v>253</v>
      </c>
      <c r="H73" s="16">
        <v>17.3</v>
      </c>
      <c r="I73" s="16">
        <v>17.899999999999999</v>
      </c>
      <c r="J73" s="151"/>
      <c r="K73" s="151"/>
      <c r="L73" s="151"/>
      <c r="M73" s="151"/>
    </row>
    <row r="74" spans="1:13">
      <c r="A74" s="16"/>
      <c r="B74" s="156">
        <f>AVERAGE(B62:B73)</f>
        <v>348.25</v>
      </c>
      <c r="C74" s="156">
        <f>AVERAGE(C62:C73)</f>
        <v>24.149999999999995</v>
      </c>
      <c r="D74" s="156">
        <f>AVERAGE(D62:D73)</f>
        <v>3.375</v>
      </c>
      <c r="E74" s="16"/>
      <c r="F74" s="167" t="s">
        <v>1168</v>
      </c>
      <c r="G74" s="16">
        <v>498</v>
      </c>
      <c r="H74" s="16">
        <v>18</v>
      </c>
      <c r="I74" s="16">
        <v>34</v>
      </c>
      <c r="J74" s="151"/>
      <c r="K74" s="151"/>
      <c r="L74" s="151"/>
      <c r="M74" s="151"/>
    </row>
    <row r="75" spans="1:13">
      <c r="A75" s="68" t="s">
        <v>1169</v>
      </c>
      <c r="B75" s="16"/>
      <c r="C75" s="16"/>
      <c r="D75" s="171"/>
      <c r="E75" s="16"/>
      <c r="F75" s="167" t="s">
        <v>1170</v>
      </c>
      <c r="G75" s="16">
        <v>387</v>
      </c>
      <c r="H75" s="16">
        <v>14.7</v>
      </c>
      <c r="I75" s="16">
        <v>31.7</v>
      </c>
      <c r="J75" s="151"/>
      <c r="K75" s="151"/>
      <c r="L75" s="151"/>
      <c r="M75" s="151"/>
    </row>
    <row r="76" spans="1:13">
      <c r="A76" s="16" t="s">
        <v>1171</v>
      </c>
      <c r="B76" s="16">
        <v>315</v>
      </c>
      <c r="C76" s="16">
        <v>6.9</v>
      </c>
      <c r="D76" s="171">
        <v>31.8</v>
      </c>
      <c r="E76" s="16"/>
      <c r="F76" s="167" t="s">
        <v>1172</v>
      </c>
      <c r="G76" s="16">
        <v>393</v>
      </c>
      <c r="H76" s="16">
        <v>37.200000000000003</v>
      </c>
      <c r="I76" s="16">
        <v>15.6</v>
      </c>
      <c r="J76" s="151"/>
      <c r="K76" s="151"/>
      <c r="L76" s="151"/>
      <c r="M76" s="151"/>
    </row>
    <row r="77" spans="1:13">
      <c r="A77" s="16" t="s">
        <v>1173</v>
      </c>
      <c r="B77" s="16">
        <v>252</v>
      </c>
      <c r="C77" s="16">
        <v>7.7</v>
      </c>
      <c r="D77" s="171">
        <v>20.6</v>
      </c>
      <c r="E77" s="16"/>
      <c r="F77" s="167"/>
      <c r="G77" s="16"/>
      <c r="H77" s="16"/>
      <c r="I77" s="16"/>
      <c r="J77" s="151"/>
      <c r="K77" s="151"/>
      <c r="L77" s="151"/>
      <c r="M77" s="151"/>
    </row>
    <row r="78" spans="1:13">
      <c r="A78" s="16" t="s">
        <v>1174</v>
      </c>
      <c r="B78" s="16">
        <v>158</v>
      </c>
      <c r="C78" s="16">
        <v>1.8</v>
      </c>
      <c r="D78" s="171">
        <v>1.7</v>
      </c>
      <c r="E78" s="16"/>
      <c r="F78" s="165" t="s">
        <v>1175</v>
      </c>
      <c r="G78" s="68"/>
      <c r="H78" s="16"/>
      <c r="I78" s="16"/>
      <c r="J78" s="151"/>
      <c r="K78" s="151"/>
      <c r="L78" s="151"/>
      <c r="M78" s="151"/>
    </row>
    <row r="79" spans="1:13">
      <c r="A79" s="16" t="s">
        <v>0</v>
      </c>
      <c r="B79" s="16">
        <v>236</v>
      </c>
      <c r="C79" s="16">
        <v>8</v>
      </c>
      <c r="D79" s="171">
        <v>20.9</v>
      </c>
      <c r="E79" s="16"/>
      <c r="F79" s="167" t="s">
        <v>1176</v>
      </c>
      <c r="G79" s="16">
        <v>19</v>
      </c>
      <c r="H79" s="16">
        <v>1</v>
      </c>
      <c r="I79" s="16">
        <v>0.1</v>
      </c>
      <c r="J79" s="151"/>
      <c r="K79" s="151"/>
      <c r="L79" s="151"/>
      <c r="M79" s="151"/>
    </row>
    <row r="80" spans="1:13">
      <c r="A80" s="16" t="s">
        <v>1177</v>
      </c>
      <c r="B80" s="16">
        <v>289</v>
      </c>
      <c r="C80" s="16">
        <v>6.4</v>
      </c>
      <c r="D80" s="171">
        <v>27.8</v>
      </c>
      <c r="E80" s="16"/>
      <c r="F80" s="167" t="s">
        <v>1178</v>
      </c>
      <c r="G80" s="16">
        <v>20</v>
      </c>
      <c r="H80" s="16">
        <v>1.1000000000000001</v>
      </c>
      <c r="I80" s="16">
        <v>0.1</v>
      </c>
      <c r="J80" s="151"/>
      <c r="K80" s="151"/>
      <c r="L80" s="151"/>
      <c r="M80" s="151"/>
    </row>
    <row r="81" spans="1:13">
      <c r="A81" s="16" t="s">
        <v>1179</v>
      </c>
      <c r="B81" s="16">
        <v>289</v>
      </c>
      <c r="C81" s="16">
        <v>10.3</v>
      </c>
      <c r="D81" s="171">
        <v>24.2</v>
      </c>
      <c r="E81" s="16"/>
      <c r="F81" s="167" t="s">
        <v>1180</v>
      </c>
      <c r="G81" s="16">
        <v>12</v>
      </c>
      <c r="H81" s="16">
        <v>1.6</v>
      </c>
      <c r="I81" s="16">
        <v>0.1</v>
      </c>
      <c r="J81" s="151"/>
      <c r="K81" s="151"/>
      <c r="L81" s="151"/>
      <c r="M81" s="151"/>
    </row>
    <row r="82" spans="1:13">
      <c r="A82" s="16" t="s">
        <v>1181</v>
      </c>
      <c r="B82" s="16">
        <v>349</v>
      </c>
      <c r="C82" s="16">
        <v>9</v>
      </c>
      <c r="D82" s="171">
        <v>2</v>
      </c>
      <c r="E82" s="16"/>
      <c r="F82" s="167" t="s">
        <v>1182</v>
      </c>
      <c r="G82" s="16">
        <v>12</v>
      </c>
      <c r="H82" s="16">
        <v>1.1000000000000001</v>
      </c>
      <c r="I82" s="16">
        <v>0.2</v>
      </c>
      <c r="J82" s="151"/>
      <c r="K82" s="151"/>
      <c r="L82" s="151"/>
      <c r="M82" s="151"/>
    </row>
    <row r="83" spans="1:13">
      <c r="A83" s="16" t="s">
        <v>1183</v>
      </c>
      <c r="B83" s="16">
        <v>291</v>
      </c>
      <c r="C83" s="16">
        <v>6</v>
      </c>
      <c r="D83" s="171">
        <v>28.8</v>
      </c>
      <c r="E83" s="16"/>
      <c r="F83" s="167" t="s">
        <v>1184</v>
      </c>
      <c r="G83" s="16">
        <v>16</v>
      </c>
      <c r="H83" s="16">
        <v>2.1</v>
      </c>
      <c r="I83" s="16">
        <v>0.3</v>
      </c>
      <c r="J83" s="151"/>
      <c r="K83" s="151"/>
      <c r="L83" s="151"/>
      <c r="M83" s="151"/>
    </row>
    <row r="84" spans="1:13">
      <c r="A84" s="16" t="s">
        <v>1185</v>
      </c>
      <c r="B84" s="16">
        <v>245</v>
      </c>
      <c r="C84" s="16">
        <v>4.9000000000000004</v>
      </c>
      <c r="D84" s="171">
        <v>4.4000000000000004</v>
      </c>
      <c r="E84" s="16"/>
      <c r="F84" s="167" t="s">
        <v>1186</v>
      </c>
      <c r="G84" s="16">
        <v>53</v>
      </c>
      <c r="H84" s="16">
        <v>5.8</v>
      </c>
      <c r="I84" s="16">
        <v>1.1000000000000001</v>
      </c>
      <c r="J84" s="151"/>
      <c r="K84" s="151"/>
      <c r="L84" s="151"/>
      <c r="M84" s="151"/>
    </row>
    <row r="85" spans="1:13">
      <c r="A85" s="16" t="s">
        <v>1187</v>
      </c>
      <c r="B85" s="16">
        <v>656</v>
      </c>
      <c r="C85" s="16">
        <v>14.3</v>
      </c>
      <c r="D85" s="171">
        <v>66.2</v>
      </c>
      <c r="E85" s="16"/>
      <c r="F85" s="167" t="s">
        <v>1188</v>
      </c>
      <c r="G85" s="16">
        <v>17</v>
      </c>
      <c r="H85" s="16">
        <v>0.8</v>
      </c>
      <c r="I85" s="16">
        <v>0.2</v>
      </c>
      <c r="J85" s="151"/>
      <c r="K85" s="151"/>
      <c r="L85" s="151"/>
      <c r="M85" s="151"/>
    </row>
    <row r="86" spans="1:13">
      <c r="A86" s="16" t="s">
        <v>1189</v>
      </c>
      <c r="B86" s="16">
        <v>574</v>
      </c>
      <c r="C86" s="16">
        <v>15.3</v>
      </c>
      <c r="D86" s="171">
        <v>46.4</v>
      </c>
      <c r="E86" s="16"/>
      <c r="F86" s="167" t="s">
        <v>1190</v>
      </c>
      <c r="G86" s="16">
        <v>17</v>
      </c>
      <c r="H86" s="16">
        <v>0.8</v>
      </c>
      <c r="I86" s="16">
        <v>0.1</v>
      </c>
      <c r="J86" s="151"/>
      <c r="K86" s="151"/>
      <c r="L86" s="151"/>
      <c r="M86" s="151"/>
    </row>
    <row r="87" spans="1:13">
      <c r="A87" s="16" t="s">
        <v>1191</v>
      </c>
      <c r="B87" s="16">
        <v>589</v>
      </c>
      <c r="C87" s="16">
        <v>20</v>
      </c>
      <c r="D87" s="171">
        <v>52.2</v>
      </c>
      <c r="E87" s="16"/>
      <c r="F87" s="167" t="s">
        <v>1192</v>
      </c>
      <c r="G87" s="16">
        <v>76</v>
      </c>
      <c r="H87" s="16">
        <v>3.4</v>
      </c>
      <c r="I87" s="16">
        <v>0.4</v>
      </c>
      <c r="J87" s="151"/>
      <c r="K87" s="151"/>
      <c r="L87" s="151"/>
      <c r="M87" s="151"/>
    </row>
    <row r="88" spans="1:13">
      <c r="A88" s="16" t="s">
        <v>1193</v>
      </c>
      <c r="B88" s="16">
        <v>642</v>
      </c>
      <c r="C88" s="16">
        <v>14.3</v>
      </c>
      <c r="D88" s="171">
        <v>61.9</v>
      </c>
      <c r="E88" s="16"/>
      <c r="F88" s="167" t="s">
        <v>1194</v>
      </c>
      <c r="G88" s="16">
        <v>84</v>
      </c>
      <c r="H88" s="16">
        <v>3.8</v>
      </c>
      <c r="I88" s="16">
        <v>0.9</v>
      </c>
      <c r="J88" s="151"/>
      <c r="K88" s="151"/>
      <c r="L88" s="151"/>
      <c r="M88" s="151"/>
    </row>
    <row r="89" spans="1:13">
      <c r="A89" s="16" t="s">
        <v>1195</v>
      </c>
      <c r="B89" s="16">
        <v>632</v>
      </c>
      <c r="C89" s="16">
        <v>13</v>
      </c>
      <c r="D89" s="171">
        <v>62.6</v>
      </c>
      <c r="E89" s="16"/>
      <c r="F89" s="167" t="s">
        <v>1196</v>
      </c>
      <c r="G89" s="16">
        <v>19</v>
      </c>
      <c r="H89" s="16">
        <v>0.9</v>
      </c>
      <c r="I89" s="16">
        <v>0.2</v>
      </c>
      <c r="J89" s="151"/>
      <c r="K89" s="151"/>
      <c r="L89" s="151"/>
      <c r="M89" s="151"/>
    </row>
    <row r="90" spans="1:13">
      <c r="A90" s="16" t="s">
        <v>1197</v>
      </c>
      <c r="B90" s="16">
        <v>262</v>
      </c>
      <c r="C90" s="16">
        <v>7</v>
      </c>
      <c r="D90" s="171">
        <v>25</v>
      </c>
      <c r="E90" s="16"/>
      <c r="F90" s="167" t="s">
        <v>1198</v>
      </c>
      <c r="G90" s="16">
        <v>9</v>
      </c>
      <c r="H90" s="16">
        <v>0.8</v>
      </c>
      <c r="I90" s="16">
        <v>0.1</v>
      </c>
      <c r="J90" s="151"/>
      <c r="K90" s="151"/>
      <c r="L90" s="151"/>
      <c r="M90" s="151"/>
    </row>
    <row r="91" spans="1:13">
      <c r="A91" s="16" t="s">
        <v>1199</v>
      </c>
      <c r="B91" s="16">
        <v>615</v>
      </c>
      <c r="C91" s="16">
        <v>15.5</v>
      </c>
      <c r="D91" s="171">
        <v>56.2</v>
      </c>
      <c r="E91" s="16"/>
      <c r="F91" s="167" t="s">
        <v>1200</v>
      </c>
      <c r="G91" s="16">
        <v>19</v>
      </c>
      <c r="H91" s="16">
        <v>0.9</v>
      </c>
      <c r="I91" s="16">
        <v>0.1</v>
      </c>
      <c r="J91" s="151"/>
      <c r="K91" s="151"/>
      <c r="L91" s="151"/>
      <c r="M91" s="151"/>
    </row>
    <row r="92" spans="1:13">
      <c r="A92" s="16" t="s">
        <v>1201</v>
      </c>
      <c r="B92" s="16">
        <v>335</v>
      </c>
      <c r="C92" s="16">
        <v>38</v>
      </c>
      <c r="D92" s="171">
        <v>18</v>
      </c>
      <c r="E92" s="16"/>
      <c r="F92" s="167" t="s">
        <v>1202</v>
      </c>
      <c r="G92" s="16">
        <v>13</v>
      </c>
      <c r="H92" s="16">
        <v>0.5</v>
      </c>
      <c r="I92" s="16">
        <v>0.1</v>
      </c>
      <c r="J92" s="151"/>
      <c r="K92" s="151"/>
      <c r="L92" s="151"/>
      <c r="M92" s="151"/>
    </row>
    <row r="93" spans="1:13">
      <c r="A93" s="151"/>
      <c r="B93" s="153">
        <f>AVERAGE(B76:B92)</f>
        <v>395.8235294117647</v>
      </c>
      <c r="C93" s="153">
        <f>AVERAGE(C76:C92)</f>
        <v>11.670588235294119</v>
      </c>
      <c r="D93" s="153">
        <f>AVERAGE(D76:D92)</f>
        <v>32.394117647058827</v>
      </c>
      <c r="E93" s="151"/>
      <c r="F93" s="168"/>
      <c r="G93" s="151"/>
      <c r="H93" s="151"/>
      <c r="I93" s="151"/>
      <c r="J93" s="151"/>
      <c r="K93" s="151"/>
      <c r="L93" s="151"/>
      <c r="M93" s="151"/>
    </row>
    <row r="94" spans="1:13" ht="19">
      <c r="A94" s="154"/>
      <c r="B94" s="151"/>
      <c r="C94" s="151"/>
      <c r="D94" s="173"/>
      <c r="E94" s="151"/>
      <c r="F94" s="168"/>
      <c r="G94" s="151"/>
      <c r="H94" s="151"/>
      <c r="I94" s="151"/>
      <c r="J94" s="151"/>
      <c r="K94" s="151"/>
      <c r="L94" s="151"/>
      <c r="M94" s="151"/>
    </row>
    <row r="95" spans="1:13">
      <c r="A95" s="151"/>
      <c r="B95" s="151"/>
      <c r="C95" s="151"/>
      <c r="D95" s="173"/>
      <c r="E95" s="151"/>
      <c r="F95" s="168"/>
      <c r="G95" s="151"/>
      <c r="H95" s="151"/>
      <c r="I95" s="151"/>
      <c r="J95" s="151"/>
      <c r="K95" s="151"/>
      <c r="L95" s="151"/>
      <c r="M95" s="151"/>
    </row>
    <row r="96" spans="1:13">
      <c r="A96" s="16" t="s">
        <v>1203</v>
      </c>
      <c r="B96" s="16">
        <v>21</v>
      </c>
      <c r="C96" s="16">
        <v>0.9</v>
      </c>
      <c r="D96" s="171">
        <v>0.1</v>
      </c>
      <c r="E96" s="16"/>
      <c r="F96" s="167" t="s">
        <v>1204</v>
      </c>
      <c r="G96" s="16">
        <v>157</v>
      </c>
      <c r="H96" s="16">
        <v>2.1</v>
      </c>
      <c r="I96" s="16">
        <v>0.5</v>
      </c>
      <c r="J96" s="151"/>
      <c r="K96" s="151"/>
      <c r="L96" s="151"/>
      <c r="M96" s="151"/>
    </row>
    <row r="97" spans="1:13">
      <c r="A97" s="16" t="s">
        <v>1205</v>
      </c>
      <c r="B97" s="16">
        <v>25</v>
      </c>
      <c r="C97" s="16">
        <v>1.1000000000000001</v>
      </c>
      <c r="D97" s="171">
        <v>0.3</v>
      </c>
      <c r="E97" s="16"/>
      <c r="F97" s="167" t="s">
        <v>1206</v>
      </c>
      <c r="G97" s="16">
        <v>48</v>
      </c>
      <c r="H97" s="16">
        <v>0.1</v>
      </c>
      <c r="I97" s="16">
        <v>0.3</v>
      </c>
      <c r="J97" s="151"/>
      <c r="K97" s="151"/>
      <c r="L97" s="151"/>
      <c r="M97" s="151"/>
    </row>
    <row r="98" spans="1:13">
      <c r="A98" s="16" t="s">
        <v>1207</v>
      </c>
      <c r="B98" s="16">
        <v>24</v>
      </c>
      <c r="C98" s="16">
        <v>1.7</v>
      </c>
      <c r="D98" s="171">
        <v>0.1</v>
      </c>
      <c r="E98" s="16"/>
      <c r="F98" s="167" t="s">
        <v>1208</v>
      </c>
      <c r="G98" s="16">
        <v>47</v>
      </c>
      <c r="H98" s="16">
        <v>0.1</v>
      </c>
      <c r="I98" s="16">
        <v>0.1</v>
      </c>
      <c r="J98" s="151"/>
      <c r="K98" s="151"/>
      <c r="L98" s="151"/>
      <c r="M98" s="151"/>
    </row>
    <row r="99" spans="1:13">
      <c r="A99" s="16" t="s">
        <v>1209</v>
      </c>
      <c r="B99" s="16">
        <v>31</v>
      </c>
      <c r="C99" s="16">
        <v>1.1000000000000001</v>
      </c>
      <c r="D99" s="171">
        <v>0.2</v>
      </c>
      <c r="E99" s="16"/>
      <c r="F99" s="167" t="s">
        <v>1210</v>
      </c>
      <c r="G99" s="16">
        <v>166</v>
      </c>
      <c r="H99" s="16">
        <v>0.5</v>
      </c>
      <c r="I99" s="16">
        <v>0.4</v>
      </c>
      <c r="J99" s="151"/>
      <c r="K99" s="151"/>
      <c r="L99" s="151"/>
      <c r="M99" s="151"/>
    </row>
    <row r="100" spans="1:13">
      <c r="A100" s="16" t="s">
        <v>1211</v>
      </c>
      <c r="B100" s="16">
        <v>130</v>
      </c>
      <c r="C100" s="16">
        <v>5.5</v>
      </c>
      <c r="D100" s="171">
        <v>0.4</v>
      </c>
      <c r="E100" s="16"/>
      <c r="F100" s="167" t="s">
        <v>1212</v>
      </c>
      <c r="G100" s="16">
        <v>54</v>
      </c>
      <c r="H100" s="16">
        <v>0.4</v>
      </c>
      <c r="I100" s="16">
        <v>0.4</v>
      </c>
      <c r="J100" s="151"/>
      <c r="K100" s="151"/>
      <c r="L100" s="151"/>
      <c r="M100" s="151"/>
    </row>
    <row r="101" spans="1:13">
      <c r="A101" s="16" t="s">
        <v>1213</v>
      </c>
      <c r="B101" s="16">
        <v>37</v>
      </c>
      <c r="C101" s="16">
        <v>0.7</v>
      </c>
      <c r="D101" s="171">
        <v>0.1</v>
      </c>
      <c r="E101" s="16"/>
      <c r="F101" s="167" t="s">
        <v>1214</v>
      </c>
      <c r="G101" s="16">
        <v>35</v>
      </c>
      <c r="H101" s="16">
        <v>0.2</v>
      </c>
      <c r="I101" s="16">
        <v>0.1</v>
      </c>
      <c r="J101" s="151"/>
      <c r="K101" s="151"/>
      <c r="L101" s="151"/>
      <c r="M101" s="151"/>
    </row>
    <row r="102" spans="1:13">
      <c r="A102" s="16" t="s">
        <v>1215</v>
      </c>
      <c r="B102" s="16">
        <v>50</v>
      </c>
      <c r="C102" s="16">
        <v>3</v>
      </c>
      <c r="D102" s="171">
        <v>0.4</v>
      </c>
      <c r="E102" s="16"/>
      <c r="F102" s="167" t="s">
        <v>1216</v>
      </c>
      <c r="G102" s="16">
        <v>45</v>
      </c>
      <c r="H102" s="16">
        <v>1.3</v>
      </c>
      <c r="I102" s="16">
        <v>0.4</v>
      </c>
      <c r="J102" s="151"/>
      <c r="K102" s="151"/>
      <c r="L102" s="151"/>
      <c r="M102" s="151"/>
    </row>
    <row r="103" spans="1:13">
      <c r="A103" s="16" t="s">
        <v>1217</v>
      </c>
      <c r="B103" s="16">
        <v>31</v>
      </c>
      <c r="C103" s="16">
        <v>2.1</v>
      </c>
      <c r="D103" s="171">
        <v>0.2</v>
      </c>
      <c r="E103" s="16"/>
      <c r="F103" s="167" t="s">
        <v>1218</v>
      </c>
      <c r="G103" s="16">
        <v>45</v>
      </c>
      <c r="H103" s="16">
        <v>0.9</v>
      </c>
      <c r="I103" s="16">
        <v>0.3</v>
      </c>
      <c r="J103" s="151"/>
      <c r="K103" s="151"/>
      <c r="L103" s="151"/>
      <c r="M103" s="151"/>
    </row>
    <row r="104" spans="1:13">
      <c r="A104" s="16" t="s">
        <v>1219</v>
      </c>
      <c r="B104" s="16">
        <v>23</v>
      </c>
      <c r="C104" s="16">
        <v>2.2999999999999998</v>
      </c>
      <c r="D104" s="171">
        <v>0.1</v>
      </c>
      <c r="E104" s="16"/>
      <c r="F104" s="167" t="s">
        <v>1220</v>
      </c>
      <c r="G104" s="16">
        <v>65</v>
      </c>
      <c r="H104" s="16">
        <v>1.1000000000000001</v>
      </c>
      <c r="I104" s="16">
        <v>0.9</v>
      </c>
      <c r="J104" s="151"/>
      <c r="K104" s="151"/>
      <c r="L104" s="151"/>
      <c r="M104" s="151"/>
    </row>
    <row r="105" spans="1:13">
      <c r="A105" s="16" t="s">
        <v>1221</v>
      </c>
      <c r="B105" s="16">
        <v>27</v>
      </c>
      <c r="C105" s="16">
        <v>1.6</v>
      </c>
      <c r="D105" s="171">
        <v>0.1</v>
      </c>
      <c r="E105" s="16"/>
      <c r="F105" s="167" t="s">
        <v>1222</v>
      </c>
      <c r="G105" s="16">
        <v>33</v>
      </c>
      <c r="H105" s="16">
        <v>0.5</v>
      </c>
      <c r="I105" s="16">
        <v>0.1</v>
      </c>
      <c r="J105" s="151"/>
      <c r="K105" s="151"/>
      <c r="L105" s="151"/>
      <c r="M105" s="151"/>
    </row>
    <row r="106" spans="1:13">
      <c r="A106" s="16" t="s">
        <v>1223</v>
      </c>
      <c r="B106" s="16">
        <v>38</v>
      </c>
      <c r="C106" s="16">
        <v>0.9</v>
      </c>
      <c r="D106" s="171">
        <v>0.2</v>
      </c>
      <c r="E106" s="16"/>
      <c r="F106" s="167" t="s">
        <v>1224</v>
      </c>
      <c r="G106" s="16">
        <v>52</v>
      </c>
      <c r="H106" s="16">
        <v>0.7</v>
      </c>
      <c r="I106" s="16">
        <v>0.6</v>
      </c>
      <c r="J106" s="151"/>
      <c r="K106" s="151"/>
      <c r="L106" s="151"/>
      <c r="M106" s="151"/>
    </row>
    <row r="107" spans="1:13">
      <c r="A107" s="16" t="s">
        <v>1225</v>
      </c>
      <c r="B107" s="16">
        <v>31</v>
      </c>
      <c r="C107" s="16">
        <v>1.6</v>
      </c>
      <c r="D107" s="171">
        <v>0.3</v>
      </c>
      <c r="E107" s="16"/>
      <c r="F107" s="167" t="s">
        <v>1226</v>
      </c>
      <c r="G107" s="16">
        <v>71</v>
      </c>
      <c r="H107" s="16">
        <v>0.6</v>
      </c>
      <c r="I107" s="16">
        <v>0</v>
      </c>
      <c r="J107" s="151"/>
      <c r="K107" s="151"/>
      <c r="L107" s="151"/>
      <c r="M107" s="151"/>
    </row>
    <row r="108" spans="1:13">
      <c r="A108" s="16" t="s">
        <v>1227</v>
      </c>
      <c r="B108" s="16">
        <v>56</v>
      </c>
      <c r="C108" s="16">
        <v>2.1</v>
      </c>
      <c r="D108" s="171">
        <v>0.8</v>
      </c>
      <c r="E108" s="16"/>
      <c r="F108" s="167" t="s">
        <v>1228</v>
      </c>
      <c r="G108" s="16">
        <v>215</v>
      </c>
      <c r="H108" s="16">
        <v>2</v>
      </c>
      <c r="I108" s="16">
        <v>0.1</v>
      </c>
      <c r="J108" s="151"/>
      <c r="K108" s="151"/>
      <c r="L108" s="151"/>
      <c r="M108" s="151"/>
    </row>
    <row r="109" spans="1:13">
      <c r="A109" s="16" t="s">
        <v>1229</v>
      </c>
      <c r="B109" s="16">
        <v>54</v>
      </c>
      <c r="C109" s="16">
        <v>1.8</v>
      </c>
      <c r="D109" s="171">
        <v>0.4</v>
      </c>
      <c r="E109" s="16"/>
      <c r="F109" s="167" t="s">
        <v>1230</v>
      </c>
      <c r="G109" s="16">
        <v>52</v>
      </c>
      <c r="H109" s="16">
        <v>0.9</v>
      </c>
      <c r="I109" s="16">
        <v>0.3</v>
      </c>
      <c r="J109" s="151"/>
      <c r="K109" s="151"/>
      <c r="L109" s="151"/>
      <c r="M109" s="151"/>
    </row>
    <row r="110" spans="1:13">
      <c r="A110" s="16" t="s">
        <v>1231</v>
      </c>
      <c r="B110" s="16">
        <v>77</v>
      </c>
      <c r="C110" s="16">
        <v>2.2999999999999998</v>
      </c>
      <c r="D110" s="171">
        <v>0.6</v>
      </c>
      <c r="E110" s="16"/>
      <c r="F110" s="167" t="s">
        <v>1232</v>
      </c>
      <c r="G110" s="16">
        <v>48</v>
      </c>
      <c r="H110" s="16">
        <v>0.4</v>
      </c>
      <c r="I110" s="16">
        <v>0.3</v>
      </c>
      <c r="J110" s="151"/>
      <c r="K110" s="151"/>
      <c r="L110" s="151"/>
      <c r="M110" s="151"/>
    </row>
    <row r="111" spans="1:13">
      <c r="A111" s="16" t="s">
        <v>1233</v>
      </c>
      <c r="B111" s="16">
        <v>24</v>
      </c>
      <c r="C111" s="16">
        <v>2</v>
      </c>
      <c r="D111" s="171">
        <v>0.4</v>
      </c>
      <c r="E111" s="16"/>
      <c r="F111" s="167" t="s">
        <v>1234</v>
      </c>
      <c r="G111" s="16">
        <v>111</v>
      </c>
      <c r="H111" s="16">
        <v>1.6</v>
      </c>
      <c r="I111" s="16">
        <v>0.5</v>
      </c>
      <c r="J111" s="151"/>
      <c r="K111" s="151"/>
      <c r="L111" s="151"/>
      <c r="M111" s="151"/>
    </row>
    <row r="112" spans="1:13">
      <c r="A112" s="16" t="s">
        <v>1235</v>
      </c>
      <c r="B112" s="16">
        <v>24</v>
      </c>
      <c r="C112" s="16">
        <v>1.9</v>
      </c>
      <c r="D112" s="171">
        <v>0.3</v>
      </c>
      <c r="E112" s="16"/>
      <c r="F112" s="167" t="s">
        <v>1236</v>
      </c>
      <c r="G112" s="16">
        <v>28</v>
      </c>
      <c r="H112" s="16">
        <v>0.6</v>
      </c>
      <c r="I112" s="16">
        <v>0.4</v>
      </c>
      <c r="J112" s="151"/>
      <c r="K112" s="151"/>
      <c r="L112" s="151"/>
      <c r="M112" s="151"/>
    </row>
    <row r="113" spans="1:13">
      <c r="A113" s="16" t="s">
        <v>1237</v>
      </c>
      <c r="B113" s="16">
        <v>296</v>
      </c>
      <c r="C113" s="16">
        <v>9.6</v>
      </c>
      <c r="D113" s="171">
        <v>1</v>
      </c>
      <c r="E113" s="16"/>
      <c r="F113" s="167" t="s">
        <v>1238</v>
      </c>
      <c r="G113" s="16">
        <v>47</v>
      </c>
      <c r="H113" s="16">
        <v>0.9</v>
      </c>
      <c r="I113" s="16">
        <v>0.5</v>
      </c>
      <c r="J113" s="151"/>
      <c r="K113" s="151"/>
      <c r="L113" s="151"/>
      <c r="M113" s="151"/>
    </row>
    <row r="114" spans="1:13">
      <c r="A114" s="16" t="s">
        <v>1239</v>
      </c>
      <c r="B114" s="16">
        <v>22</v>
      </c>
      <c r="C114" s="16">
        <v>1.4</v>
      </c>
      <c r="D114" s="171">
        <v>0.2</v>
      </c>
      <c r="E114" s="16"/>
      <c r="F114" s="167" t="s">
        <v>1240</v>
      </c>
      <c r="G114" s="16">
        <v>44</v>
      </c>
      <c r="H114" s="16">
        <v>0.9</v>
      </c>
      <c r="I114" s="16">
        <v>0.6</v>
      </c>
      <c r="J114" s="151"/>
      <c r="K114" s="151"/>
      <c r="L114" s="151"/>
      <c r="M114" s="151"/>
    </row>
    <row r="115" spans="1:13">
      <c r="A115" s="16" t="s">
        <v>1241</v>
      </c>
      <c r="B115" s="16">
        <v>176</v>
      </c>
      <c r="C115" s="16">
        <v>11.2</v>
      </c>
      <c r="D115" s="171">
        <v>1.6</v>
      </c>
      <c r="E115" s="16"/>
      <c r="F115" s="167" t="s">
        <v>1242</v>
      </c>
      <c r="G115" s="16">
        <v>59</v>
      </c>
      <c r="H115" s="16">
        <v>1.4</v>
      </c>
      <c r="I115" s="16">
        <v>0.3</v>
      </c>
      <c r="J115" s="151"/>
      <c r="K115" s="151"/>
      <c r="L115" s="151"/>
      <c r="M115" s="151"/>
    </row>
    <row r="116" spans="1:13">
      <c r="A116" s="16" t="s">
        <v>1243</v>
      </c>
      <c r="B116" s="16">
        <v>36</v>
      </c>
      <c r="C116" s="16">
        <v>1.4</v>
      </c>
      <c r="D116" s="171">
        <v>0.3</v>
      </c>
      <c r="E116" s="16"/>
      <c r="F116" s="167" t="s">
        <v>1244</v>
      </c>
      <c r="G116" s="16">
        <v>55</v>
      </c>
      <c r="H116" s="16">
        <v>0.7</v>
      </c>
      <c r="I116" s="16">
        <v>0.4</v>
      </c>
      <c r="J116" s="151"/>
      <c r="K116" s="151"/>
      <c r="L116" s="151"/>
      <c r="M116" s="151"/>
    </row>
    <row r="117" spans="1:13">
      <c r="A117" s="16" t="s">
        <v>1245</v>
      </c>
      <c r="B117" s="16">
        <v>19</v>
      </c>
      <c r="C117" s="16">
        <v>0.6</v>
      </c>
      <c r="D117" s="171">
        <v>0.1</v>
      </c>
      <c r="E117" s="16"/>
      <c r="F117" s="167" t="s">
        <v>1246</v>
      </c>
      <c r="G117" s="16">
        <v>47</v>
      </c>
      <c r="H117" s="16">
        <v>0.4</v>
      </c>
      <c r="I117" s="16">
        <v>0.2</v>
      </c>
      <c r="J117" s="151"/>
      <c r="K117" s="151"/>
      <c r="L117" s="151"/>
      <c r="M117" s="151"/>
    </row>
    <row r="118" spans="1:13">
      <c r="A118" s="16" t="s">
        <v>1247</v>
      </c>
      <c r="B118" s="16">
        <v>341</v>
      </c>
      <c r="C118" s="16">
        <v>6.6</v>
      </c>
      <c r="D118" s="171">
        <v>1.3</v>
      </c>
      <c r="E118" s="16"/>
      <c r="F118" s="167" t="s">
        <v>1248</v>
      </c>
      <c r="G118" s="16">
        <v>49</v>
      </c>
      <c r="H118" s="16">
        <v>1</v>
      </c>
      <c r="I118" s="16">
        <v>0.7</v>
      </c>
      <c r="J118" s="151"/>
      <c r="K118" s="151"/>
      <c r="L118" s="151"/>
      <c r="M118" s="151"/>
    </row>
    <row r="119" spans="1:13">
      <c r="A119" s="16" t="s">
        <v>1249</v>
      </c>
      <c r="B119" s="16">
        <v>29</v>
      </c>
      <c r="C119" s="16">
        <v>1.4</v>
      </c>
      <c r="D119" s="171">
        <v>1.3</v>
      </c>
      <c r="E119" s="16"/>
      <c r="F119" s="167" t="s">
        <v>1250</v>
      </c>
      <c r="G119" s="16">
        <v>53</v>
      </c>
      <c r="H119" s="16">
        <v>0.5</v>
      </c>
      <c r="I119" s="16">
        <v>0.4</v>
      </c>
      <c r="J119" s="151"/>
      <c r="K119" s="151"/>
      <c r="L119" s="151"/>
      <c r="M119" s="151"/>
    </row>
    <row r="120" spans="1:13">
      <c r="A120" s="16" t="s">
        <v>1251</v>
      </c>
      <c r="B120" s="16">
        <v>38</v>
      </c>
      <c r="C120" s="16">
        <v>2.1</v>
      </c>
      <c r="D120" s="171">
        <v>0.3</v>
      </c>
      <c r="E120" s="16"/>
      <c r="F120" s="167" t="s">
        <v>1252</v>
      </c>
      <c r="G120" s="16">
        <v>61</v>
      </c>
      <c r="H120" s="16">
        <v>0.6</v>
      </c>
      <c r="I120" s="16">
        <v>0.1</v>
      </c>
      <c r="J120" s="151"/>
      <c r="K120" s="151"/>
      <c r="L120" s="151"/>
      <c r="M120" s="151"/>
    </row>
    <row r="121" spans="1:13">
      <c r="A121" s="16" t="s">
        <v>1253</v>
      </c>
      <c r="B121" s="16">
        <v>71</v>
      </c>
      <c r="C121" s="16">
        <v>3.3</v>
      </c>
      <c r="D121" s="171">
        <v>0.5</v>
      </c>
      <c r="E121" s="16"/>
      <c r="F121" s="167" t="s">
        <v>1254</v>
      </c>
      <c r="G121" s="16">
        <v>17</v>
      </c>
      <c r="H121" s="16">
        <v>0.3</v>
      </c>
      <c r="I121" s="16">
        <v>0.2</v>
      </c>
      <c r="J121" s="151"/>
      <c r="K121" s="151"/>
      <c r="L121" s="151"/>
      <c r="M121" s="151"/>
    </row>
    <row r="122" spans="1:13">
      <c r="A122" s="16" t="s">
        <v>1255</v>
      </c>
      <c r="B122" s="16">
        <v>65</v>
      </c>
      <c r="C122" s="16">
        <v>3.3</v>
      </c>
      <c r="D122" s="171">
        <v>0.3</v>
      </c>
      <c r="E122" s="16"/>
      <c r="F122" s="167" t="s">
        <v>1256</v>
      </c>
      <c r="G122" s="16">
        <v>17</v>
      </c>
      <c r="H122" s="16">
        <v>0.4</v>
      </c>
      <c r="I122" s="16">
        <v>0.1</v>
      </c>
      <c r="J122" s="151"/>
      <c r="K122" s="151"/>
      <c r="L122" s="151"/>
      <c r="M122" s="151"/>
    </row>
    <row r="123" spans="1:13">
      <c r="A123" s="16" t="s">
        <v>1257</v>
      </c>
      <c r="B123" s="16">
        <v>54</v>
      </c>
      <c r="C123" s="16">
        <v>2.4</v>
      </c>
      <c r="D123" s="171">
        <v>0.4</v>
      </c>
      <c r="E123" s="16"/>
      <c r="F123" s="167" t="s">
        <v>1258</v>
      </c>
      <c r="G123" s="16">
        <v>73</v>
      </c>
      <c r="H123" s="16">
        <v>0.8</v>
      </c>
      <c r="I123" s="16">
        <v>0.3</v>
      </c>
      <c r="J123" s="151"/>
      <c r="K123" s="151"/>
      <c r="L123" s="151"/>
      <c r="M123" s="151"/>
    </row>
    <row r="124" spans="1:13">
      <c r="A124" s="16" t="s">
        <v>1259</v>
      </c>
      <c r="B124" s="16">
        <v>41</v>
      </c>
      <c r="C124" s="16">
        <v>1.2</v>
      </c>
      <c r="D124" s="171">
        <v>0.5</v>
      </c>
      <c r="E124" s="16"/>
      <c r="F124" s="167" t="s">
        <v>1260</v>
      </c>
      <c r="G124" s="16">
        <v>45</v>
      </c>
      <c r="H124" s="16">
        <v>0.4</v>
      </c>
      <c r="I124" s="16">
        <v>0.2</v>
      </c>
      <c r="J124" s="151"/>
      <c r="K124" s="151"/>
      <c r="L124" s="151"/>
      <c r="M124" s="151"/>
    </row>
    <row r="125" spans="1:13">
      <c r="A125" s="16"/>
      <c r="B125" s="152">
        <f>AVERAGE(G79:G92,B96:B124)</f>
        <v>52.953488372093027</v>
      </c>
      <c r="C125" s="152">
        <f t="shared" ref="C125:D125" si="3">AVERAGE(H79:H92,C96:C124)</f>
        <v>2.3651162790697673</v>
      </c>
      <c r="D125" s="152">
        <f t="shared" si="3"/>
        <v>0.39069767441860465</v>
      </c>
      <c r="E125" s="16"/>
      <c r="F125" s="167" t="s">
        <v>1261</v>
      </c>
      <c r="G125" s="16">
        <v>62</v>
      </c>
      <c r="H125" s="16">
        <v>0.3</v>
      </c>
      <c r="I125" s="16">
        <v>0.4</v>
      </c>
      <c r="J125" s="151"/>
      <c r="K125" s="151"/>
      <c r="L125" s="151"/>
      <c r="M125" s="151"/>
    </row>
    <row r="126" spans="1:13">
      <c r="A126" s="68" t="s">
        <v>1262</v>
      </c>
      <c r="B126" s="16"/>
      <c r="C126" s="16"/>
      <c r="D126" s="171"/>
      <c r="E126" s="16"/>
      <c r="F126" s="167" t="s">
        <v>1263</v>
      </c>
      <c r="G126" s="16">
        <v>65</v>
      </c>
      <c r="H126" s="16">
        <v>0.5</v>
      </c>
      <c r="I126" s="16">
        <v>0.3</v>
      </c>
      <c r="J126" s="151"/>
      <c r="K126" s="151"/>
      <c r="L126" s="151"/>
      <c r="M126" s="151"/>
    </row>
    <row r="127" spans="1:13">
      <c r="A127" s="16" t="s">
        <v>1264</v>
      </c>
      <c r="B127" s="16">
        <v>60</v>
      </c>
      <c r="C127" s="16">
        <v>0.7</v>
      </c>
      <c r="D127" s="171">
        <v>0.3</v>
      </c>
      <c r="E127" s="16"/>
      <c r="F127" s="167" t="s">
        <v>1265</v>
      </c>
      <c r="G127" s="16">
        <v>119</v>
      </c>
      <c r="H127" s="16">
        <v>1.5</v>
      </c>
      <c r="I127" s="16">
        <v>11.3</v>
      </c>
      <c r="J127" s="151"/>
      <c r="K127" s="151"/>
      <c r="L127" s="151"/>
      <c r="M127" s="151"/>
    </row>
    <row r="128" spans="1:13">
      <c r="A128" s="16" t="s">
        <v>1266</v>
      </c>
      <c r="B128" s="16">
        <v>75</v>
      </c>
      <c r="C128" s="16">
        <v>0.8</v>
      </c>
      <c r="D128" s="171">
        <v>0.3</v>
      </c>
      <c r="E128" s="16"/>
      <c r="F128" s="167" t="s">
        <v>1267</v>
      </c>
      <c r="G128" s="16">
        <v>26</v>
      </c>
      <c r="H128" s="16">
        <v>0.2</v>
      </c>
      <c r="I128" s="16">
        <v>0.2</v>
      </c>
      <c r="J128" s="151"/>
      <c r="K128" s="151"/>
      <c r="L128" s="151"/>
      <c r="M128" s="151"/>
    </row>
    <row r="129" spans="1:13">
      <c r="A129" s="16" t="s">
        <v>1268</v>
      </c>
      <c r="B129" s="16">
        <v>34</v>
      </c>
      <c r="C129" s="16">
        <v>0.7</v>
      </c>
      <c r="D129" s="171">
        <v>0.1</v>
      </c>
      <c r="E129" s="16"/>
      <c r="F129" s="167" t="s">
        <v>1269</v>
      </c>
      <c r="G129" s="16">
        <v>78</v>
      </c>
      <c r="H129" s="16">
        <v>0.4</v>
      </c>
      <c r="I129" s="16">
        <v>0.1</v>
      </c>
      <c r="J129" s="151"/>
      <c r="K129" s="151"/>
      <c r="L129" s="151"/>
      <c r="M129" s="151"/>
    </row>
    <row r="130" spans="1:13">
      <c r="A130" s="16" t="s">
        <v>1270</v>
      </c>
      <c r="B130" s="16">
        <v>42</v>
      </c>
      <c r="C130" s="16">
        <v>0.6</v>
      </c>
      <c r="D130" s="171">
        <v>0.1</v>
      </c>
      <c r="E130" s="16"/>
      <c r="F130" s="167" t="s">
        <v>1271</v>
      </c>
      <c r="G130" s="16">
        <v>56</v>
      </c>
      <c r="H130" s="16">
        <v>0.3</v>
      </c>
      <c r="I130" s="16">
        <v>0.1</v>
      </c>
      <c r="J130" s="151"/>
      <c r="K130" s="151"/>
      <c r="L130" s="151"/>
      <c r="M130" s="151"/>
    </row>
    <row r="131" spans="1:13">
      <c r="A131" s="16" t="s">
        <v>1272</v>
      </c>
      <c r="B131" s="16">
        <v>159</v>
      </c>
      <c r="C131" s="16">
        <v>2.4</v>
      </c>
      <c r="D131" s="171">
        <v>0.2</v>
      </c>
      <c r="E131" s="16"/>
      <c r="F131" s="167" t="s">
        <v>1273</v>
      </c>
      <c r="G131" s="16">
        <v>179</v>
      </c>
      <c r="H131" s="16">
        <v>1.3</v>
      </c>
      <c r="I131" s="16">
        <v>0.1</v>
      </c>
      <c r="J131" s="151"/>
      <c r="K131" s="151"/>
      <c r="L131" s="151"/>
      <c r="M131" s="151"/>
    </row>
    <row r="132" spans="1:13">
      <c r="A132" s="16" t="s">
        <v>1274</v>
      </c>
      <c r="B132" s="16">
        <v>32</v>
      </c>
      <c r="C132" s="16">
        <v>0.5</v>
      </c>
      <c r="D132" s="171">
        <v>0.1</v>
      </c>
      <c r="E132" s="16"/>
      <c r="F132" s="167" t="s">
        <v>1275</v>
      </c>
      <c r="G132" s="16">
        <v>82</v>
      </c>
      <c r="H132" s="16">
        <v>0.6</v>
      </c>
      <c r="I132" s="16">
        <v>0.3</v>
      </c>
      <c r="J132" s="151"/>
      <c r="K132" s="151"/>
      <c r="L132" s="151"/>
      <c r="M132" s="151"/>
    </row>
    <row r="133" spans="1:13">
      <c r="A133" s="16" t="s">
        <v>1276</v>
      </c>
      <c r="B133" s="16">
        <v>43</v>
      </c>
      <c r="C133" s="16">
        <v>0.5</v>
      </c>
      <c r="D133" s="171">
        <v>0.2</v>
      </c>
      <c r="E133" s="16"/>
      <c r="F133" s="167" t="s">
        <v>1277</v>
      </c>
      <c r="G133" s="16">
        <v>43</v>
      </c>
      <c r="H133" s="16">
        <v>0.8</v>
      </c>
      <c r="I133" s="16">
        <v>0.6</v>
      </c>
      <c r="J133" s="151"/>
      <c r="K133" s="151"/>
      <c r="L133" s="151"/>
      <c r="M133" s="151"/>
    </row>
    <row r="134" spans="1:13">
      <c r="A134" s="16" t="s">
        <v>1278</v>
      </c>
      <c r="B134" s="16">
        <v>15</v>
      </c>
      <c r="C134" s="16">
        <v>0.6</v>
      </c>
      <c r="D134" s="171">
        <v>0.2</v>
      </c>
      <c r="E134" s="16"/>
      <c r="F134" s="167" t="s">
        <v>1279</v>
      </c>
      <c r="G134" s="16">
        <v>52</v>
      </c>
      <c r="H134" s="16">
        <v>0.9</v>
      </c>
      <c r="I134" s="16">
        <v>0.4</v>
      </c>
      <c r="J134" s="151"/>
      <c r="K134" s="151"/>
      <c r="L134" s="151"/>
      <c r="M134" s="151"/>
    </row>
    <row r="135" spans="1:13">
      <c r="A135" s="16" t="s">
        <v>1280</v>
      </c>
      <c r="B135" s="16">
        <v>22</v>
      </c>
      <c r="C135" s="16">
        <v>0.5</v>
      </c>
      <c r="D135" s="171">
        <v>0.3</v>
      </c>
      <c r="E135" s="16"/>
      <c r="F135" s="167" t="s">
        <v>1281</v>
      </c>
      <c r="G135" s="16">
        <v>26</v>
      </c>
      <c r="H135" s="16">
        <v>0.4</v>
      </c>
      <c r="I135" s="16">
        <v>0.1</v>
      </c>
      <c r="J135" s="151"/>
      <c r="K135" s="151"/>
      <c r="L135" s="151"/>
      <c r="M135" s="151"/>
    </row>
    <row r="136" spans="1:13">
      <c r="A136" s="16" t="s">
        <v>1282</v>
      </c>
      <c r="B136" s="16">
        <v>116</v>
      </c>
      <c r="C136" s="16">
        <v>2.2999999999999998</v>
      </c>
      <c r="D136" s="171">
        <v>0.9</v>
      </c>
      <c r="E136" s="16"/>
      <c r="F136" s="167" t="s">
        <v>1283</v>
      </c>
      <c r="G136" s="16">
        <v>41</v>
      </c>
      <c r="H136" s="16">
        <v>0.5</v>
      </c>
      <c r="I136" s="16">
        <v>0.7</v>
      </c>
      <c r="J136" s="151"/>
      <c r="K136" s="151"/>
      <c r="L136" s="151"/>
      <c r="M136" s="151"/>
    </row>
    <row r="137" spans="1:13">
      <c r="A137" s="16" t="s">
        <v>1284</v>
      </c>
      <c r="B137" s="16">
        <v>16</v>
      </c>
      <c r="C137" s="16">
        <v>0.3</v>
      </c>
      <c r="D137" s="171">
        <v>0.1</v>
      </c>
      <c r="E137" s="16"/>
      <c r="F137" s="167" t="s">
        <v>1285</v>
      </c>
      <c r="G137" s="16">
        <v>45</v>
      </c>
      <c r="H137" s="16">
        <v>0.5</v>
      </c>
      <c r="I137" s="16">
        <v>0.5</v>
      </c>
      <c r="J137" s="151"/>
      <c r="K137" s="151"/>
      <c r="L137" s="151"/>
      <c r="M137" s="151"/>
    </row>
    <row r="138" spans="1:13">
      <c r="A138" s="16" t="s">
        <v>1286</v>
      </c>
      <c r="B138" s="16">
        <v>39</v>
      </c>
      <c r="C138" s="16">
        <v>0.5</v>
      </c>
      <c r="D138" s="171">
        <v>0.1</v>
      </c>
      <c r="E138" s="16"/>
      <c r="F138" s="167" t="s">
        <v>1287</v>
      </c>
      <c r="G138" s="16">
        <v>48</v>
      </c>
      <c r="H138" s="16">
        <v>0.5</v>
      </c>
      <c r="I138" s="16">
        <v>0.1</v>
      </c>
      <c r="J138" s="151"/>
      <c r="K138" s="151"/>
      <c r="L138" s="151"/>
      <c r="M138" s="151"/>
    </row>
    <row r="139" spans="1:13">
      <c r="A139" s="16" t="s">
        <v>1288</v>
      </c>
      <c r="B139" s="16">
        <v>146</v>
      </c>
      <c r="C139" s="16">
        <v>2</v>
      </c>
      <c r="D139" s="171">
        <v>0.5</v>
      </c>
      <c r="E139" s="16"/>
      <c r="F139" s="167" t="s">
        <v>1289</v>
      </c>
      <c r="G139" s="16">
        <v>36</v>
      </c>
      <c r="H139" s="16">
        <v>0.5</v>
      </c>
      <c r="I139" s="16">
        <v>0.2</v>
      </c>
      <c r="J139" s="151"/>
      <c r="K139" s="151"/>
      <c r="L139" s="151"/>
      <c r="M139" s="151"/>
    </row>
    <row r="140" spans="1:13">
      <c r="A140" s="16" t="s">
        <v>1290</v>
      </c>
      <c r="B140" s="16">
        <v>26</v>
      </c>
      <c r="C140" s="16">
        <v>0.5</v>
      </c>
      <c r="D140" s="171">
        <v>0.2</v>
      </c>
      <c r="E140" s="16"/>
      <c r="F140" s="167" t="s">
        <v>1291</v>
      </c>
      <c r="G140" s="16">
        <v>346</v>
      </c>
      <c r="H140" s="16">
        <v>3.9</v>
      </c>
      <c r="I140" s="16">
        <v>1.8</v>
      </c>
      <c r="J140" s="151"/>
      <c r="K140" s="151"/>
      <c r="L140" s="151"/>
      <c r="M140" s="151"/>
    </row>
    <row r="141" spans="1:13">
      <c r="A141" s="16" t="s">
        <v>1292</v>
      </c>
      <c r="B141" s="16">
        <v>47</v>
      </c>
      <c r="C141" s="16">
        <v>0.6</v>
      </c>
      <c r="D141" s="171">
        <v>0.2</v>
      </c>
      <c r="E141" s="16"/>
      <c r="F141" s="167" t="s">
        <v>1293</v>
      </c>
      <c r="G141" s="16">
        <v>212</v>
      </c>
      <c r="H141" s="16">
        <v>0.6</v>
      </c>
      <c r="I141" s="16">
        <v>0</v>
      </c>
      <c r="J141" s="151"/>
      <c r="K141" s="151"/>
      <c r="L141" s="151"/>
      <c r="M141" s="151"/>
    </row>
    <row r="142" spans="1:13" ht="19">
      <c r="A142" s="154"/>
      <c r="B142" s="151"/>
      <c r="C142" s="151"/>
      <c r="D142" s="173"/>
      <c r="E142" s="151"/>
      <c r="F142" s="168"/>
      <c r="G142" s="151"/>
      <c r="H142" s="151"/>
      <c r="I142" s="151"/>
      <c r="J142" s="151"/>
      <c r="K142" s="151"/>
      <c r="L142" s="151"/>
      <c r="M142" s="151"/>
    </row>
    <row r="143" spans="1:13">
      <c r="A143" s="16" t="s">
        <v>1294</v>
      </c>
      <c r="B143" s="16">
        <v>59</v>
      </c>
      <c r="C143" s="16">
        <v>0.3</v>
      </c>
      <c r="D143" s="171">
        <v>0</v>
      </c>
      <c r="E143" s="16"/>
      <c r="F143" s="167" t="s">
        <v>1295</v>
      </c>
      <c r="G143" s="16">
        <v>68</v>
      </c>
      <c r="H143" s="16">
        <v>0</v>
      </c>
      <c r="I143" s="16">
        <v>0</v>
      </c>
      <c r="J143" s="151"/>
      <c r="K143" s="151"/>
      <c r="L143" s="151"/>
      <c r="M143" s="151"/>
    </row>
    <row r="144" spans="1:13">
      <c r="A144" s="16"/>
      <c r="B144" s="16"/>
      <c r="C144" s="16"/>
      <c r="D144" s="171"/>
      <c r="E144" s="16"/>
      <c r="F144" s="167" t="s">
        <v>1296</v>
      </c>
      <c r="G144" s="16">
        <v>137</v>
      </c>
      <c r="H144" s="16">
        <v>0.1</v>
      </c>
      <c r="I144" s="16">
        <v>0</v>
      </c>
      <c r="J144" s="151"/>
      <c r="K144" s="151"/>
      <c r="L144" s="151"/>
      <c r="M144" s="151"/>
    </row>
    <row r="145" spans="1:13">
      <c r="A145" s="68" t="s">
        <v>1297</v>
      </c>
      <c r="B145" s="16"/>
      <c r="C145" s="16"/>
      <c r="D145" s="171"/>
      <c r="E145" s="16"/>
      <c r="F145" s="167" t="s">
        <v>1298</v>
      </c>
      <c r="G145" s="16">
        <v>295</v>
      </c>
      <c r="H145" s="16">
        <v>0</v>
      </c>
      <c r="I145" s="16">
        <v>0</v>
      </c>
      <c r="J145" s="151"/>
      <c r="K145" s="151"/>
      <c r="L145" s="151"/>
      <c r="M145" s="151"/>
    </row>
    <row r="146" spans="1:13">
      <c r="A146" s="16" t="s">
        <v>1299</v>
      </c>
      <c r="B146" s="16">
        <v>238</v>
      </c>
      <c r="C146" s="16">
        <v>3.7</v>
      </c>
      <c r="D146" s="171">
        <v>0.5</v>
      </c>
      <c r="E146" s="16"/>
      <c r="F146" s="167"/>
      <c r="G146" s="16"/>
      <c r="H146" s="16"/>
      <c r="I146" s="16"/>
      <c r="J146" s="151"/>
      <c r="K146" s="151"/>
      <c r="L146" s="151"/>
      <c r="M146" s="151"/>
    </row>
    <row r="147" spans="1:13">
      <c r="A147" s="16" t="s">
        <v>1300</v>
      </c>
      <c r="B147" s="16">
        <v>208</v>
      </c>
      <c r="C147" s="16">
        <v>2.2999999999999998</v>
      </c>
      <c r="D147" s="171">
        <v>0.5</v>
      </c>
      <c r="E147" s="16"/>
      <c r="F147" s="165" t="s">
        <v>1301</v>
      </c>
      <c r="G147" s="16"/>
      <c r="H147" s="16"/>
      <c r="I147" s="16"/>
      <c r="J147" s="151"/>
      <c r="K147" s="151"/>
      <c r="L147" s="151"/>
      <c r="M147" s="151"/>
    </row>
    <row r="148" spans="1:13">
      <c r="A148" s="16" t="s">
        <v>1302</v>
      </c>
      <c r="B148" s="16">
        <v>299</v>
      </c>
      <c r="C148" s="16">
        <v>3.2</v>
      </c>
      <c r="D148" s="171">
        <v>0.5</v>
      </c>
      <c r="E148" s="16"/>
      <c r="F148" s="167"/>
      <c r="G148" s="16"/>
      <c r="H148" s="16"/>
      <c r="I148" s="16"/>
      <c r="J148" s="151"/>
      <c r="K148" s="151"/>
      <c r="L148" s="151"/>
      <c r="M148" s="151"/>
    </row>
    <row r="149" spans="1:13">
      <c r="A149" s="16" t="s">
        <v>1303</v>
      </c>
      <c r="B149" s="16">
        <v>253</v>
      </c>
      <c r="C149" s="16">
        <v>3</v>
      </c>
      <c r="D149" s="171">
        <v>1.2</v>
      </c>
      <c r="E149" s="16"/>
      <c r="F149" s="167" t="s">
        <v>1304</v>
      </c>
      <c r="G149" s="16">
        <v>150</v>
      </c>
      <c r="H149" s="16">
        <v>18.5</v>
      </c>
      <c r="I149" s="16">
        <v>7.9</v>
      </c>
      <c r="J149" s="151"/>
      <c r="K149" s="151"/>
      <c r="L149" s="151"/>
      <c r="M149" s="151"/>
    </row>
    <row r="150" spans="1:13">
      <c r="A150" s="16" t="s">
        <v>1305</v>
      </c>
      <c r="B150" s="16">
        <v>156</v>
      </c>
      <c r="C150" s="16">
        <v>1.5</v>
      </c>
      <c r="D150" s="171">
        <v>0.4</v>
      </c>
      <c r="E150" s="16"/>
      <c r="F150" s="167" t="s">
        <v>1306</v>
      </c>
      <c r="G150" s="16">
        <v>203</v>
      </c>
      <c r="H150" s="16">
        <v>34.299999999999997</v>
      </c>
      <c r="I150" s="16">
        <v>6.3</v>
      </c>
      <c r="J150" s="151"/>
      <c r="K150" s="151"/>
      <c r="L150" s="151"/>
      <c r="M150" s="151"/>
    </row>
    <row r="151" spans="1:13">
      <c r="A151" s="16" t="s">
        <v>1307</v>
      </c>
      <c r="B151" s="16">
        <v>267</v>
      </c>
      <c r="C151" s="16">
        <v>2.8</v>
      </c>
      <c r="D151" s="171">
        <v>0.6</v>
      </c>
      <c r="E151" s="16"/>
      <c r="F151" s="167" t="s">
        <v>1308</v>
      </c>
      <c r="G151" s="16">
        <v>238</v>
      </c>
      <c r="H151" s="16">
        <v>16</v>
      </c>
      <c r="I151" s="16">
        <v>8.9</v>
      </c>
      <c r="J151" s="151"/>
      <c r="K151" s="151"/>
      <c r="L151" s="151"/>
      <c r="M151" s="151"/>
    </row>
    <row r="152" spans="1:13">
      <c r="A152" s="16" t="s">
        <v>1309</v>
      </c>
      <c r="B152" s="16">
        <v>267</v>
      </c>
      <c r="C152" s="16">
        <v>2.8</v>
      </c>
      <c r="D152" s="171">
        <v>0.6</v>
      </c>
      <c r="E152" s="16"/>
      <c r="F152" s="167" t="s">
        <v>1310</v>
      </c>
      <c r="G152" s="16">
        <v>313</v>
      </c>
      <c r="H152" s="16">
        <v>11.7</v>
      </c>
      <c r="I152" s="16">
        <v>28.4</v>
      </c>
      <c r="J152" s="151"/>
      <c r="K152" s="151"/>
      <c r="L152" s="151"/>
      <c r="M152" s="151"/>
    </row>
    <row r="153" spans="1:13">
      <c r="A153" s="16"/>
      <c r="B153" s="156">
        <f>AVERAGE(B127:B152,G96:G141)</f>
        <v>86.579710144927532</v>
      </c>
      <c r="C153" s="156">
        <f t="shared" ref="C153:D153" si="4">AVERAGE(C127:C152,H96:H141)</f>
        <v>1.0014492753623188</v>
      </c>
      <c r="D153" s="156">
        <f t="shared" si="4"/>
        <v>0.50724637681159446</v>
      </c>
      <c r="E153" s="16"/>
      <c r="F153" s="167" t="s">
        <v>1311</v>
      </c>
      <c r="G153" s="16">
        <v>233</v>
      </c>
      <c r="H153" s="16">
        <v>25</v>
      </c>
      <c r="I153" s="16">
        <v>14</v>
      </c>
      <c r="J153" s="151"/>
      <c r="K153" s="151"/>
      <c r="L153" s="151"/>
      <c r="M153" s="151"/>
    </row>
    <row r="154" spans="1:13">
      <c r="A154" s="68" t="s">
        <v>1312</v>
      </c>
      <c r="B154" s="16"/>
      <c r="C154" s="16"/>
      <c r="D154" s="171"/>
      <c r="E154" s="16"/>
      <c r="F154" s="167" t="s">
        <v>1313</v>
      </c>
      <c r="G154" s="16">
        <v>233</v>
      </c>
      <c r="H154" s="16">
        <v>25</v>
      </c>
      <c r="I154" s="16">
        <v>14</v>
      </c>
      <c r="J154" s="151"/>
      <c r="K154" s="151"/>
      <c r="L154" s="151"/>
      <c r="M154" s="151"/>
    </row>
    <row r="155" spans="1:13">
      <c r="A155" s="16" t="s">
        <v>1314</v>
      </c>
      <c r="B155" s="16">
        <v>47</v>
      </c>
      <c r="C155" s="16">
        <v>6.7</v>
      </c>
      <c r="D155" s="171">
        <v>0</v>
      </c>
      <c r="E155" s="16"/>
      <c r="F155" s="167" t="s">
        <v>1315</v>
      </c>
      <c r="G155" s="16">
        <v>110</v>
      </c>
      <c r="H155" s="16">
        <v>13.7</v>
      </c>
      <c r="I155" s="16">
        <v>5.7</v>
      </c>
      <c r="J155" s="151"/>
      <c r="K155" s="151"/>
      <c r="L155" s="151"/>
      <c r="M155" s="151"/>
    </row>
    <row r="156" spans="1:13">
      <c r="A156" s="16" t="s">
        <v>1316</v>
      </c>
      <c r="B156" s="16">
        <v>56</v>
      </c>
      <c r="C156" s="16">
        <v>8</v>
      </c>
      <c r="D156" s="171">
        <v>0</v>
      </c>
      <c r="E156" s="16"/>
      <c r="F156" s="167" t="s">
        <v>1317</v>
      </c>
      <c r="G156" s="16">
        <v>315</v>
      </c>
      <c r="H156" s="16">
        <v>13.6</v>
      </c>
      <c r="I156" s="16">
        <v>2.8</v>
      </c>
      <c r="J156" s="151"/>
      <c r="K156" s="151"/>
      <c r="L156" s="151"/>
      <c r="M156" s="151"/>
    </row>
    <row r="157" spans="1:13">
      <c r="A157" s="16" t="s">
        <v>1318</v>
      </c>
      <c r="B157" s="16">
        <v>56</v>
      </c>
      <c r="C157" s="16">
        <v>8</v>
      </c>
      <c r="D157" s="171">
        <v>0</v>
      </c>
      <c r="E157" s="16"/>
      <c r="F157" s="167" t="s">
        <v>1319</v>
      </c>
      <c r="G157" s="16">
        <v>105</v>
      </c>
      <c r="H157" s="16">
        <v>18.399999999999999</v>
      </c>
      <c r="I157" s="16">
        <v>2.5</v>
      </c>
      <c r="J157" s="151"/>
      <c r="K157" s="151"/>
      <c r="L157" s="151"/>
      <c r="M157" s="151"/>
    </row>
    <row r="158" spans="1:13">
      <c r="A158" s="16" t="s">
        <v>1320</v>
      </c>
      <c r="B158" s="16">
        <v>129</v>
      </c>
      <c r="C158" s="16">
        <v>4</v>
      </c>
      <c r="D158" s="171">
        <v>0</v>
      </c>
      <c r="E158" s="16"/>
      <c r="F158" s="167" t="s">
        <v>1321</v>
      </c>
      <c r="G158" s="16">
        <v>77</v>
      </c>
      <c r="H158" s="16">
        <v>11.3</v>
      </c>
      <c r="I158" s="16">
        <v>3.1</v>
      </c>
      <c r="J158" s="151"/>
      <c r="K158" s="151"/>
      <c r="L158" s="151"/>
      <c r="M158" s="151"/>
    </row>
    <row r="159" spans="1:13">
      <c r="A159" s="16" t="s">
        <v>1322</v>
      </c>
      <c r="B159" s="16">
        <v>60</v>
      </c>
      <c r="C159" s="16">
        <v>1.1000000000000001</v>
      </c>
      <c r="D159" s="171">
        <v>0.2</v>
      </c>
      <c r="E159" s="16"/>
      <c r="F159" s="167" t="s">
        <v>1323</v>
      </c>
      <c r="G159" s="16">
        <v>105</v>
      </c>
      <c r="H159" s="16">
        <v>18.399999999999999</v>
      </c>
      <c r="I159" s="16">
        <v>2.5</v>
      </c>
      <c r="J159" s="151"/>
      <c r="K159" s="151"/>
      <c r="L159" s="151"/>
      <c r="M159" s="151"/>
    </row>
    <row r="160" spans="1:13">
      <c r="A160" s="16" t="s">
        <v>1324</v>
      </c>
      <c r="B160" s="16">
        <v>414</v>
      </c>
      <c r="C160" s="16">
        <v>4</v>
      </c>
      <c r="D160" s="171">
        <v>40</v>
      </c>
      <c r="E160" s="16"/>
      <c r="F160" s="167" t="s">
        <v>1325</v>
      </c>
      <c r="G160" s="16">
        <v>263</v>
      </c>
      <c r="H160" s="16">
        <v>13.5</v>
      </c>
      <c r="I160" s="16">
        <v>22.8</v>
      </c>
      <c r="J160" s="151"/>
      <c r="K160" s="151"/>
      <c r="L160" s="151"/>
      <c r="M160" s="151"/>
    </row>
    <row r="161" spans="1:13">
      <c r="A161" s="16" t="s">
        <v>1326</v>
      </c>
      <c r="B161" s="16">
        <v>472</v>
      </c>
      <c r="C161" s="16">
        <v>1.7</v>
      </c>
      <c r="D161" s="171">
        <v>44</v>
      </c>
      <c r="E161" s="16"/>
      <c r="F161" s="167" t="s">
        <v>1327</v>
      </c>
      <c r="G161" s="16">
        <v>117</v>
      </c>
      <c r="H161" s="16">
        <v>14.6</v>
      </c>
      <c r="I161" s="16">
        <v>5.7</v>
      </c>
      <c r="J161" s="151"/>
      <c r="K161" s="151"/>
      <c r="L161" s="151"/>
      <c r="M161" s="151"/>
    </row>
    <row r="162" spans="1:13">
      <c r="A162" s="16" t="s">
        <v>1328</v>
      </c>
      <c r="B162" s="16">
        <v>711</v>
      </c>
      <c r="C162" s="16">
        <v>0</v>
      </c>
      <c r="D162" s="171">
        <v>85</v>
      </c>
      <c r="E162" s="16"/>
      <c r="F162" s="167" t="s">
        <v>1329</v>
      </c>
      <c r="G162" s="16">
        <v>123</v>
      </c>
      <c r="H162" s="16">
        <v>14</v>
      </c>
      <c r="I162" s="16">
        <v>7</v>
      </c>
      <c r="J162" s="151"/>
      <c r="K162" s="151"/>
      <c r="L162" s="151"/>
      <c r="M162" s="151"/>
    </row>
    <row r="163" spans="1:13">
      <c r="A163" s="16" t="s">
        <v>1330</v>
      </c>
      <c r="B163" s="16">
        <v>261</v>
      </c>
      <c r="C163" s="16">
        <v>17.3</v>
      </c>
      <c r="D163" s="171">
        <v>19</v>
      </c>
      <c r="E163" s="16"/>
      <c r="F163" s="167" t="s">
        <v>1331</v>
      </c>
      <c r="G163" s="16">
        <v>117</v>
      </c>
      <c r="H163" s="16">
        <v>14.6</v>
      </c>
      <c r="I163" s="16">
        <v>5.7</v>
      </c>
      <c r="J163" s="151"/>
      <c r="K163" s="151"/>
      <c r="L163" s="151"/>
      <c r="M163" s="151"/>
    </row>
    <row r="164" spans="1:13">
      <c r="A164" s="16" t="s">
        <v>1332</v>
      </c>
      <c r="B164" s="16">
        <v>393</v>
      </c>
      <c r="C164" s="16">
        <v>4.2</v>
      </c>
      <c r="D164" s="171">
        <v>35.700000000000003</v>
      </c>
      <c r="E164" s="16"/>
      <c r="F164" s="167" t="s">
        <v>1333</v>
      </c>
      <c r="G164" s="16">
        <v>326</v>
      </c>
      <c r="H164" s="16">
        <v>11</v>
      </c>
      <c r="I164" s="16">
        <v>31</v>
      </c>
      <c r="J164" s="151"/>
      <c r="K164" s="151"/>
      <c r="L164" s="151"/>
      <c r="M164" s="151"/>
    </row>
    <row r="165" spans="1:13">
      <c r="A165" s="16" t="s">
        <v>1334</v>
      </c>
      <c r="B165" s="16">
        <v>40</v>
      </c>
      <c r="C165" s="16">
        <v>10</v>
      </c>
      <c r="D165" s="171">
        <v>0</v>
      </c>
      <c r="E165" s="16"/>
      <c r="F165" s="167" t="s">
        <v>1335</v>
      </c>
      <c r="G165" s="16">
        <v>220</v>
      </c>
      <c r="H165" s="16">
        <v>13.4</v>
      </c>
      <c r="I165" s="16">
        <v>18</v>
      </c>
      <c r="J165" s="151"/>
      <c r="K165" s="151"/>
      <c r="L165" s="151"/>
      <c r="M165" s="151"/>
    </row>
    <row r="166" spans="1:13">
      <c r="A166" s="16" t="s">
        <v>1336</v>
      </c>
      <c r="B166" s="16">
        <v>18</v>
      </c>
      <c r="C166" s="16">
        <v>4.5</v>
      </c>
      <c r="D166" s="171">
        <v>0</v>
      </c>
      <c r="E166" s="16"/>
      <c r="F166" s="167" t="s">
        <v>1337</v>
      </c>
      <c r="G166" s="16">
        <v>362</v>
      </c>
      <c r="H166" s="16">
        <v>13.1</v>
      </c>
      <c r="I166" s="16">
        <v>34.1</v>
      </c>
      <c r="J166" s="151"/>
      <c r="K166" s="151"/>
      <c r="L166" s="151"/>
      <c r="M166" s="151"/>
    </row>
    <row r="167" spans="1:13">
      <c r="A167" s="16" t="s">
        <v>1338</v>
      </c>
      <c r="B167" s="16">
        <v>40</v>
      </c>
      <c r="C167" s="16">
        <v>10</v>
      </c>
      <c r="D167" s="171">
        <v>0</v>
      </c>
      <c r="E167" s="16"/>
      <c r="F167" s="167" t="s">
        <v>1339</v>
      </c>
      <c r="G167" s="16">
        <v>417</v>
      </c>
      <c r="H167" s="16">
        <v>11.7</v>
      </c>
      <c r="I167" s="16">
        <v>40.299999999999997</v>
      </c>
      <c r="J167" s="151"/>
      <c r="K167" s="151"/>
      <c r="L167" s="151"/>
      <c r="M167" s="151"/>
    </row>
    <row r="168" spans="1:13">
      <c r="A168" s="16" t="s">
        <v>1340</v>
      </c>
      <c r="B168" s="16">
        <v>40</v>
      </c>
      <c r="C168" s="16">
        <v>10</v>
      </c>
      <c r="D168" s="171">
        <v>0</v>
      </c>
      <c r="E168" s="16"/>
      <c r="F168" s="167" t="s">
        <v>1341</v>
      </c>
      <c r="G168" s="16">
        <v>239</v>
      </c>
      <c r="H168" s="16">
        <v>16.100000000000001</v>
      </c>
      <c r="I168" s="16">
        <v>18.8</v>
      </c>
      <c r="J168" s="151"/>
      <c r="K168" s="151"/>
      <c r="L168" s="151"/>
      <c r="M168" s="151"/>
    </row>
    <row r="169" spans="1:13">
      <c r="A169" s="16"/>
      <c r="B169" s="16"/>
      <c r="C169" s="16"/>
      <c r="D169" s="171"/>
      <c r="E169" s="16"/>
      <c r="F169" s="167" t="s">
        <v>1342</v>
      </c>
      <c r="G169" s="16">
        <v>113</v>
      </c>
      <c r="H169" s="16">
        <v>18.3</v>
      </c>
      <c r="I169" s="16">
        <v>3.5</v>
      </c>
      <c r="J169" s="151"/>
      <c r="K169" s="151"/>
      <c r="L169" s="151"/>
      <c r="M169" s="151"/>
    </row>
    <row r="170" spans="1:13">
      <c r="A170" s="68" t="s">
        <v>1343</v>
      </c>
      <c r="B170" s="16"/>
      <c r="C170" s="16"/>
      <c r="D170" s="171"/>
      <c r="E170" s="16"/>
      <c r="F170" s="167" t="s">
        <v>1344</v>
      </c>
      <c r="G170" s="16">
        <v>122</v>
      </c>
      <c r="H170" s="16">
        <v>12.3</v>
      </c>
      <c r="I170" s="16">
        <v>7.7</v>
      </c>
      <c r="J170" s="151"/>
      <c r="K170" s="151"/>
      <c r="L170" s="151"/>
      <c r="M170" s="151"/>
    </row>
    <row r="171" spans="1:13">
      <c r="A171" s="16" t="s">
        <v>1345</v>
      </c>
      <c r="B171" s="16">
        <v>276</v>
      </c>
      <c r="C171" s="16">
        <v>10.7</v>
      </c>
      <c r="D171" s="171">
        <v>2.7</v>
      </c>
      <c r="E171" s="16"/>
      <c r="F171" s="167" t="s">
        <v>1346</v>
      </c>
      <c r="G171" s="16">
        <v>165</v>
      </c>
      <c r="H171" s="16">
        <v>21.8</v>
      </c>
      <c r="I171" s="16">
        <v>8</v>
      </c>
      <c r="J171" s="151"/>
      <c r="K171" s="151"/>
      <c r="L171" s="151"/>
      <c r="M171" s="151"/>
    </row>
    <row r="172" spans="1:13">
      <c r="A172" s="16" t="s">
        <v>1347</v>
      </c>
      <c r="B172" s="16">
        <v>318</v>
      </c>
      <c r="C172" s="16">
        <v>12</v>
      </c>
      <c r="D172" s="171">
        <v>17.3</v>
      </c>
      <c r="E172" s="16"/>
      <c r="F172" s="167" t="s">
        <v>1348</v>
      </c>
      <c r="G172" s="16">
        <v>125</v>
      </c>
      <c r="H172" s="16">
        <v>18</v>
      </c>
      <c r="I172" s="16">
        <v>3.9</v>
      </c>
      <c r="J172" s="151"/>
      <c r="K172" s="151"/>
      <c r="L172" s="151"/>
      <c r="M172" s="151"/>
    </row>
    <row r="173" spans="1:13">
      <c r="A173" s="16" t="s">
        <v>1349</v>
      </c>
      <c r="B173" s="16">
        <v>261</v>
      </c>
      <c r="C173" s="16">
        <v>3.9</v>
      </c>
      <c r="D173" s="171">
        <v>3.2</v>
      </c>
      <c r="E173" s="16"/>
      <c r="F173" s="167" t="s">
        <v>1350</v>
      </c>
      <c r="G173" s="16">
        <v>462</v>
      </c>
      <c r="H173" s="16">
        <v>11.4</v>
      </c>
      <c r="I173" s="16">
        <v>43.8</v>
      </c>
      <c r="J173" s="151"/>
      <c r="K173" s="151"/>
      <c r="L173" s="151"/>
      <c r="M173" s="151"/>
    </row>
    <row r="174" spans="1:13">
      <c r="A174" s="16" t="s">
        <v>1351</v>
      </c>
      <c r="B174" s="16">
        <v>323</v>
      </c>
      <c r="C174" s="16">
        <v>6</v>
      </c>
      <c r="D174" s="171">
        <v>20.100000000000001</v>
      </c>
      <c r="E174" s="16"/>
      <c r="F174" s="167" t="s">
        <v>1352</v>
      </c>
      <c r="G174" s="16">
        <v>291</v>
      </c>
      <c r="H174" s="16">
        <v>8.3000000000000007</v>
      </c>
      <c r="I174" s="16">
        <v>28.3</v>
      </c>
      <c r="J174" s="151"/>
      <c r="K174" s="151"/>
      <c r="L174" s="151"/>
      <c r="M174" s="151"/>
    </row>
    <row r="175" spans="1:13">
      <c r="A175" s="16" t="s">
        <v>1353</v>
      </c>
      <c r="B175" s="16">
        <v>525</v>
      </c>
      <c r="C175" s="16">
        <v>5.8</v>
      </c>
      <c r="D175" s="171">
        <v>36.299999999999997</v>
      </c>
      <c r="E175" s="16"/>
      <c r="F175" s="167" t="s">
        <v>1354</v>
      </c>
      <c r="G175" s="16">
        <v>136</v>
      </c>
      <c r="H175" s="16">
        <v>18.7</v>
      </c>
      <c r="I175" s="16">
        <v>4.5999999999999996</v>
      </c>
      <c r="J175" s="151"/>
      <c r="K175" s="151"/>
      <c r="L175" s="151"/>
      <c r="M175" s="151"/>
    </row>
    <row r="176" spans="1:13">
      <c r="A176" s="16" t="s">
        <v>1355</v>
      </c>
      <c r="B176" s="16">
        <v>345</v>
      </c>
      <c r="C176" s="16">
        <v>15.8</v>
      </c>
      <c r="D176" s="171">
        <v>14.9</v>
      </c>
      <c r="E176" s="16"/>
      <c r="F176" s="167" t="s">
        <v>1356</v>
      </c>
      <c r="G176" s="16">
        <v>301</v>
      </c>
      <c r="H176" s="16">
        <v>12.9</v>
      </c>
      <c r="I176" s="16">
        <v>27.2</v>
      </c>
      <c r="J176" s="151"/>
      <c r="K176" s="151"/>
      <c r="L176" s="151"/>
      <c r="M176" s="151"/>
    </row>
    <row r="177" spans="1:13">
      <c r="A177" s="16" t="s">
        <v>1357</v>
      </c>
      <c r="B177" s="16">
        <v>347</v>
      </c>
      <c r="C177" s="16">
        <v>9.1</v>
      </c>
      <c r="D177" s="171">
        <v>6</v>
      </c>
      <c r="E177" s="16"/>
      <c r="F177" s="167" t="s">
        <v>1358</v>
      </c>
      <c r="G177" s="16">
        <v>133</v>
      </c>
      <c r="H177" s="16">
        <v>16.399999999999999</v>
      </c>
      <c r="I177" s="16">
        <v>4.3</v>
      </c>
      <c r="J177" s="151"/>
      <c r="K177" s="151"/>
      <c r="L177" s="151"/>
      <c r="M177" s="151"/>
    </row>
    <row r="178" spans="1:13">
      <c r="A178" s="16" t="s">
        <v>1359</v>
      </c>
      <c r="B178" s="16">
        <v>337</v>
      </c>
      <c r="C178" s="16">
        <v>11.3</v>
      </c>
      <c r="D178" s="171">
        <v>15.5</v>
      </c>
      <c r="E178" s="16"/>
      <c r="F178" s="167" t="s">
        <v>1360</v>
      </c>
      <c r="G178" s="16">
        <v>126</v>
      </c>
      <c r="H178" s="16">
        <v>16.100000000000001</v>
      </c>
      <c r="I178" s="16">
        <v>6.3</v>
      </c>
      <c r="J178" s="151"/>
      <c r="K178" s="151"/>
      <c r="L178" s="151"/>
      <c r="M178" s="151"/>
    </row>
    <row r="179" spans="1:13">
      <c r="A179" s="16"/>
      <c r="B179" s="16"/>
      <c r="C179" s="16"/>
      <c r="D179" s="171"/>
      <c r="E179" s="16"/>
      <c r="F179" s="167" t="s">
        <v>1361</v>
      </c>
      <c r="G179" s="16">
        <v>137</v>
      </c>
      <c r="H179" s="16">
        <v>20</v>
      </c>
      <c r="I179" s="16">
        <v>4</v>
      </c>
      <c r="J179" s="151"/>
      <c r="K179" s="151"/>
      <c r="L179" s="151"/>
      <c r="M179" s="151"/>
    </row>
    <row r="180" spans="1:13">
      <c r="A180" s="68" t="s">
        <v>1362</v>
      </c>
      <c r="B180" s="16"/>
      <c r="C180" s="16"/>
      <c r="D180" s="171"/>
      <c r="E180" s="16"/>
      <c r="F180" s="167" t="s">
        <v>1363</v>
      </c>
      <c r="G180" s="16">
        <v>226</v>
      </c>
      <c r="H180" s="16">
        <v>14.2</v>
      </c>
      <c r="I180" s="16">
        <v>18.3</v>
      </c>
      <c r="J180" s="151"/>
      <c r="K180" s="151"/>
      <c r="L180" s="151"/>
      <c r="M180" s="151"/>
    </row>
    <row r="181" spans="1:13">
      <c r="A181" s="16" t="s">
        <v>1364</v>
      </c>
      <c r="B181" s="16">
        <v>60</v>
      </c>
      <c r="C181" s="16">
        <v>1.9</v>
      </c>
      <c r="D181" s="171">
        <v>0.3</v>
      </c>
      <c r="E181" s="16"/>
      <c r="F181" s="167" t="s">
        <v>1365</v>
      </c>
      <c r="G181" s="16">
        <v>185</v>
      </c>
      <c r="H181" s="16">
        <v>17.100000000000001</v>
      </c>
      <c r="I181" s="16">
        <v>12.4</v>
      </c>
      <c r="J181" s="151"/>
      <c r="K181" s="151"/>
      <c r="L181" s="151"/>
      <c r="M181" s="151"/>
    </row>
    <row r="182" spans="1:13">
      <c r="A182" s="16" t="s">
        <v>1366</v>
      </c>
      <c r="B182" s="16">
        <v>133</v>
      </c>
      <c r="C182" s="16">
        <v>0.3</v>
      </c>
      <c r="D182" s="171">
        <v>0</v>
      </c>
      <c r="E182" s="16"/>
      <c r="F182" s="167" t="s">
        <v>1367</v>
      </c>
      <c r="G182" s="16">
        <v>85</v>
      </c>
      <c r="H182" s="16">
        <v>15.5</v>
      </c>
      <c r="I182" s="16">
        <v>2</v>
      </c>
      <c r="J182" s="151"/>
      <c r="K182" s="151"/>
      <c r="L182" s="151"/>
      <c r="M182" s="151"/>
    </row>
    <row r="183" spans="1:13">
      <c r="A183" s="16" t="s">
        <v>1368</v>
      </c>
      <c r="B183" s="16">
        <v>49</v>
      </c>
      <c r="C183" s="16">
        <v>0.5</v>
      </c>
      <c r="D183" s="171">
        <v>0</v>
      </c>
      <c r="E183" s="16"/>
      <c r="F183" s="167" t="s">
        <v>1369</v>
      </c>
      <c r="G183" s="16">
        <v>105</v>
      </c>
      <c r="H183" s="16">
        <v>18.399999999999999</v>
      </c>
      <c r="I183" s="16">
        <v>2.5</v>
      </c>
      <c r="J183" s="151"/>
      <c r="K183" s="151"/>
      <c r="L183" s="151"/>
      <c r="M183" s="151"/>
    </row>
    <row r="184" spans="1:13">
      <c r="A184" s="16" t="s">
        <v>1370</v>
      </c>
      <c r="B184" s="16">
        <v>40</v>
      </c>
      <c r="C184" s="16">
        <v>0.4</v>
      </c>
      <c r="D184" s="171">
        <v>0</v>
      </c>
      <c r="E184" s="16"/>
      <c r="F184" s="167" t="s">
        <v>1371</v>
      </c>
      <c r="G184" s="16">
        <v>94</v>
      </c>
      <c r="H184" s="16">
        <v>15</v>
      </c>
      <c r="I184" s="16">
        <v>3</v>
      </c>
      <c r="J184" s="151"/>
      <c r="K184" s="151"/>
      <c r="L184" s="151"/>
      <c r="M184" s="151"/>
    </row>
    <row r="185" spans="1:13">
      <c r="A185" s="16" t="s">
        <v>1372</v>
      </c>
      <c r="B185" s="16">
        <v>40</v>
      </c>
      <c r="C185" s="16">
        <v>0.4</v>
      </c>
      <c r="D185" s="171">
        <v>0</v>
      </c>
      <c r="E185" s="16"/>
      <c r="F185" s="167" t="s">
        <v>1373</v>
      </c>
      <c r="G185" s="16">
        <v>94</v>
      </c>
      <c r="H185" s="16">
        <v>15</v>
      </c>
      <c r="I185" s="16">
        <v>3</v>
      </c>
      <c r="J185" s="151"/>
      <c r="K185" s="151"/>
      <c r="L185" s="151"/>
      <c r="M185" s="151"/>
    </row>
    <row r="186" spans="1:13">
      <c r="A186" s="16" t="s">
        <v>1374</v>
      </c>
      <c r="B186" s="16">
        <v>40</v>
      </c>
      <c r="C186" s="16">
        <v>0.4</v>
      </c>
      <c r="D186" s="171">
        <v>0</v>
      </c>
      <c r="E186" s="16"/>
      <c r="F186" s="167" t="s">
        <v>1375</v>
      </c>
      <c r="G186" s="16">
        <v>174</v>
      </c>
      <c r="H186" s="16">
        <v>12.7</v>
      </c>
      <c r="I186" s="16">
        <v>13.2</v>
      </c>
      <c r="J186" s="151"/>
      <c r="K186" s="151"/>
      <c r="L186" s="151"/>
      <c r="M186" s="151"/>
    </row>
    <row r="187" spans="1:13">
      <c r="A187" s="16" t="s">
        <v>1376</v>
      </c>
      <c r="B187" s="16">
        <v>47</v>
      </c>
      <c r="C187" s="16">
        <v>0.1</v>
      </c>
      <c r="D187" s="171">
        <v>0</v>
      </c>
      <c r="E187" s="16"/>
      <c r="F187" s="167" t="s">
        <v>1377</v>
      </c>
      <c r="G187" s="16">
        <v>105</v>
      </c>
      <c r="H187" s="16">
        <v>18.399999999999999</v>
      </c>
      <c r="I187" s="16">
        <v>2.5</v>
      </c>
      <c r="J187" s="151"/>
      <c r="K187" s="151"/>
      <c r="L187" s="151"/>
      <c r="M187" s="151"/>
    </row>
    <row r="188" spans="1:13">
      <c r="A188" s="16" t="s">
        <v>1378</v>
      </c>
      <c r="B188" s="16">
        <v>61</v>
      </c>
      <c r="C188" s="16">
        <v>0.6</v>
      </c>
      <c r="D188" s="171">
        <v>0.1</v>
      </c>
      <c r="E188" s="16"/>
      <c r="F188" s="167" t="s">
        <v>1379</v>
      </c>
      <c r="G188" s="16">
        <v>118</v>
      </c>
      <c r="H188" s="16">
        <v>17</v>
      </c>
      <c r="I188" s="16">
        <v>5</v>
      </c>
      <c r="J188" s="151"/>
      <c r="K188" s="151"/>
      <c r="L188" s="151" t="s">
        <v>1546</v>
      </c>
      <c r="M188" s="151" t="s">
        <v>1547</v>
      </c>
    </row>
    <row r="189" spans="1:13">
      <c r="A189" s="151"/>
      <c r="B189" s="151"/>
      <c r="C189" s="151"/>
      <c r="D189" s="173"/>
      <c r="E189" s="151"/>
      <c r="F189" s="168"/>
      <c r="G189" s="151"/>
      <c r="H189" s="151"/>
      <c r="I189" s="151"/>
      <c r="J189" s="151"/>
      <c r="K189" s="151" t="s">
        <v>1380</v>
      </c>
      <c r="L189" s="159">
        <f>AVERAGE(G149:G150,G152:G154)</f>
        <v>226.4</v>
      </c>
      <c r="M189" s="159">
        <f>AVERAGE(H149:H150,H152:H154)</f>
        <v>22.9</v>
      </c>
    </row>
    <row r="190" spans="1:13" ht="19">
      <c r="A190" s="154"/>
      <c r="B190" s="151"/>
      <c r="C190" s="151"/>
      <c r="D190" s="173"/>
      <c r="E190" s="151"/>
      <c r="F190" s="168"/>
      <c r="G190" s="151"/>
      <c r="H190" s="151"/>
      <c r="I190" s="151"/>
      <c r="J190" s="151"/>
      <c r="K190" s="151" t="s">
        <v>156</v>
      </c>
      <c r="L190" s="159">
        <f>AVERAGE(G170:G171,G178,G181)</f>
        <v>149.5</v>
      </c>
      <c r="M190" s="159">
        <f>AVERAGE(H170:H171,H178,H181)</f>
        <v>16.825000000000003</v>
      </c>
    </row>
    <row r="191" spans="1:13">
      <c r="A191" s="151"/>
      <c r="B191" s="151"/>
      <c r="C191" s="151"/>
      <c r="D191" s="173"/>
      <c r="E191" s="151"/>
      <c r="F191" s="168"/>
      <c r="G191" s="151"/>
      <c r="H191" s="151"/>
      <c r="I191" s="151"/>
      <c r="J191" s="151"/>
      <c r="K191" s="151" t="s">
        <v>1381</v>
      </c>
      <c r="L191" s="159">
        <f>AVERAGE(G164:G168)</f>
        <v>312.8</v>
      </c>
      <c r="M191" s="159">
        <f>AVERAGE(H164:H168)</f>
        <v>13.060000000000002</v>
      </c>
    </row>
    <row r="192" spans="1:13">
      <c r="A192" s="16" t="s">
        <v>1382</v>
      </c>
      <c r="B192" s="16">
        <v>81</v>
      </c>
      <c r="C192" s="16">
        <v>16.2</v>
      </c>
      <c r="D192" s="171">
        <v>1.4</v>
      </c>
      <c r="E192" s="16"/>
      <c r="F192" s="167" t="s">
        <v>1383</v>
      </c>
      <c r="G192" s="16">
        <v>98</v>
      </c>
      <c r="H192" s="16">
        <v>14.9</v>
      </c>
      <c r="I192" s="16">
        <v>2.6</v>
      </c>
      <c r="J192" s="151"/>
      <c r="K192" s="151" t="s">
        <v>1384</v>
      </c>
      <c r="L192" s="159">
        <f>AVERAGE(G157,G159,G161,G163,G169,G172,G175,G177,G179,G183,G187)</f>
        <v>118</v>
      </c>
      <c r="M192" s="159">
        <f>AVERAGE(H157,H159,H161,H163,H169,H172,H175,H177,H179,H183,H187)</f>
        <v>17.654545454545456</v>
      </c>
    </row>
    <row r="193" spans="1:13">
      <c r="A193" s="16" t="s">
        <v>1385</v>
      </c>
      <c r="B193" s="16">
        <v>143</v>
      </c>
      <c r="C193" s="16">
        <v>14.6</v>
      </c>
      <c r="D193" s="171">
        <v>9</v>
      </c>
      <c r="E193" s="16"/>
      <c r="F193" s="167" t="s">
        <v>1386</v>
      </c>
      <c r="G193" s="16">
        <v>66</v>
      </c>
      <c r="H193" s="16">
        <v>13.5</v>
      </c>
      <c r="I193" s="16">
        <v>0.7</v>
      </c>
      <c r="J193" s="151"/>
      <c r="K193" s="151" t="s">
        <v>1387</v>
      </c>
      <c r="L193" s="159">
        <f>AVERAGE(G160,G162)</f>
        <v>193</v>
      </c>
      <c r="M193" s="159">
        <f>AVERAGE(H160,H162)</f>
        <v>13.75</v>
      </c>
    </row>
    <row r="194" spans="1:13">
      <c r="A194" s="16" t="s">
        <v>1388</v>
      </c>
      <c r="B194" s="16">
        <v>105</v>
      </c>
      <c r="C194" s="16">
        <v>18.399999999999999</v>
      </c>
      <c r="D194" s="171">
        <v>2.5</v>
      </c>
      <c r="E194" s="16"/>
      <c r="F194" s="167" t="s">
        <v>1389</v>
      </c>
      <c r="G194" s="16">
        <v>74</v>
      </c>
      <c r="H194" s="16">
        <v>15.1</v>
      </c>
      <c r="I194" s="16">
        <v>0.9</v>
      </c>
      <c r="J194" s="151"/>
      <c r="K194" s="151" t="s">
        <v>1544</v>
      </c>
      <c r="L194" s="157">
        <f>AVERAGE(L189:L193)</f>
        <v>199.94</v>
      </c>
      <c r="M194" s="157">
        <f>AVERAGE(M189:M193)</f>
        <v>16.83790909090909</v>
      </c>
    </row>
    <row r="195" spans="1:13">
      <c r="A195" s="16" t="s">
        <v>1390</v>
      </c>
      <c r="B195" s="16">
        <v>104</v>
      </c>
      <c r="C195" s="16">
        <v>18</v>
      </c>
      <c r="D195" s="171">
        <v>3</v>
      </c>
      <c r="E195" s="16"/>
      <c r="F195" s="167" t="s">
        <v>1391</v>
      </c>
      <c r="G195" s="16">
        <v>341</v>
      </c>
      <c r="H195" s="16">
        <v>61.6</v>
      </c>
      <c r="I195" s="16">
        <v>6.2</v>
      </c>
      <c r="J195" s="151"/>
      <c r="K195" s="151"/>
      <c r="L195" s="151"/>
      <c r="M195" s="151"/>
    </row>
    <row r="196" spans="1:13">
      <c r="A196" s="16" t="s">
        <v>1392</v>
      </c>
      <c r="B196" s="16">
        <v>126</v>
      </c>
      <c r="C196" s="16">
        <v>16.399999999999999</v>
      </c>
      <c r="D196" s="171">
        <v>6</v>
      </c>
      <c r="E196" s="16"/>
      <c r="F196" s="167" t="s">
        <v>1393</v>
      </c>
      <c r="G196" s="16">
        <v>137</v>
      </c>
      <c r="H196" s="16">
        <v>20.8</v>
      </c>
      <c r="I196" s="16">
        <v>2.8</v>
      </c>
      <c r="J196" s="151"/>
      <c r="K196" s="151"/>
      <c r="L196" s="151"/>
      <c r="M196" s="151"/>
    </row>
    <row r="197" spans="1:13">
      <c r="A197" s="16" t="s">
        <v>1394</v>
      </c>
      <c r="B197" s="16">
        <v>250</v>
      </c>
      <c r="C197" s="16">
        <v>55.4</v>
      </c>
      <c r="D197" s="171">
        <v>1.5</v>
      </c>
      <c r="E197" s="16"/>
      <c r="F197" s="167" t="s">
        <v>1395</v>
      </c>
      <c r="G197" s="16">
        <v>130</v>
      </c>
      <c r="H197" s="16">
        <v>20.8</v>
      </c>
      <c r="I197" s="16">
        <v>1.5</v>
      </c>
      <c r="J197" s="151"/>
      <c r="K197" s="151"/>
      <c r="L197" s="151"/>
      <c r="M197" s="151"/>
    </row>
    <row r="198" spans="1:13">
      <c r="A198" s="16" t="s">
        <v>1396</v>
      </c>
      <c r="B198" s="16">
        <v>242</v>
      </c>
      <c r="C198" s="16">
        <v>20.6</v>
      </c>
      <c r="D198" s="171">
        <v>16.899999999999999</v>
      </c>
      <c r="E198" s="16"/>
      <c r="F198" s="167" t="s">
        <v>1397</v>
      </c>
      <c r="G198" s="16">
        <v>136</v>
      </c>
      <c r="H198" s="16">
        <v>21</v>
      </c>
      <c r="I198" s="16">
        <v>5</v>
      </c>
      <c r="J198" s="151"/>
      <c r="K198" s="151"/>
      <c r="L198" s="151"/>
      <c r="M198" s="151"/>
    </row>
    <row r="199" spans="1:13">
      <c r="A199" s="16" t="s">
        <v>1398</v>
      </c>
      <c r="B199" s="16">
        <v>105</v>
      </c>
      <c r="C199" s="16">
        <v>18.399999999999999</v>
      </c>
      <c r="D199" s="171">
        <v>2.5</v>
      </c>
      <c r="E199" s="16"/>
      <c r="F199" s="167" t="s">
        <v>1399</v>
      </c>
      <c r="G199" s="16">
        <v>156</v>
      </c>
      <c r="H199" s="16">
        <v>20.6</v>
      </c>
      <c r="I199" s="16">
        <v>7.5</v>
      </c>
      <c r="J199" s="151"/>
      <c r="K199" s="151"/>
      <c r="L199" s="151"/>
      <c r="M199" s="151"/>
    </row>
    <row r="200" spans="1:13">
      <c r="A200" s="16" t="s">
        <v>1400</v>
      </c>
      <c r="B200" s="16">
        <v>42</v>
      </c>
      <c r="C200" s="16">
        <v>6.3</v>
      </c>
      <c r="D200" s="171">
        <v>0.5</v>
      </c>
      <c r="E200" s="16"/>
      <c r="F200" s="167" t="s">
        <v>1401</v>
      </c>
      <c r="G200" s="16">
        <v>30</v>
      </c>
      <c r="H200" s="16">
        <v>4</v>
      </c>
      <c r="I200" s="16">
        <v>0.2</v>
      </c>
      <c r="J200" s="151"/>
      <c r="K200" s="151"/>
      <c r="L200" s="151"/>
      <c r="M200" s="151"/>
    </row>
    <row r="201" spans="1:13">
      <c r="A201" s="16"/>
      <c r="B201" s="156"/>
      <c r="C201" s="156"/>
      <c r="D201" s="174"/>
      <c r="E201" s="16"/>
      <c r="F201" s="167" t="s">
        <v>1402</v>
      </c>
      <c r="G201" s="16">
        <v>33</v>
      </c>
      <c r="H201" s="16">
        <v>5.5</v>
      </c>
      <c r="I201" s="16">
        <v>0.1</v>
      </c>
      <c r="J201" s="151"/>
      <c r="K201" s="151"/>
      <c r="L201" s="151"/>
      <c r="M201" s="151"/>
    </row>
    <row r="202" spans="1:13">
      <c r="A202" s="68" t="s">
        <v>1403</v>
      </c>
      <c r="B202" s="16"/>
      <c r="C202" s="16"/>
      <c r="D202" s="171"/>
      <c r="E202" s="16"/>
      <c r="F202" s="167" t="s">
        <v>1404</v>
      </c>
      <c r="G202" s="16">
        <v>168</v>
      </c>
      <c r="H202" s="16">
        <v>11.5</v>
      </c>
      <c r="I202" s="16">
        <v>3.8</v>
      </c>
      <c r="J202" s="151"/>
      <c r="K202" s="151"/>
      <c r="L202" s="151"/>
      <c r="M202" s="151"/>
    </row>
    <row r="203" spans="1:13">
      <c r="A203" s="16" t="s">
        <v>1405</v>
      </c>
      <c r="B203" s="16">
        <v>139</v>
      </c>
      <c r="C203" s="16">
        <v>10.7</v>
      </c>
      <c r="D203" s="171">
        <v>9.8000000000000007</v>
      </c>
      <c r="E203" s="16"/>
      <c r="F203" s="167" t="s">
        <v>1406</v>
      </c>
      <c r="G203" s="16">
        <v>54</v>
      </c>
      <c r="H203" s="16">
        <v>2.8</v>
      </c>
      <c r="I203" s="16">
        <v>0.6</v>
      </c>
      <c r="J203" s="151"/>
      <c r="K203" s="151"/>
      <c r="L203" s="151"/>
      <c r="M203" s="151"/>
    </row>
    <row r="204" spans="1:13">
      <c r="A204" s="16" t="s">
        <v>1407</v>
      </c>
      <c r="B204" s="16">
        <v>158</v>
      </c>
      <c r="C204" s="16">
        <v>12.1</v>
      </c>
      <c r="D204" s="171">
        <v>11.2</v>
      </c>
      <c r="E204" s="16"/>
      <c r="F204" s="167" t="s">
        <v>1408</v>
      </c>
      <c r="G204" s="16">
        <v>215</v>
      </c>
      <c r="H204" s="16">
        <v>16.399999999999999</v>
      </c>
      <c r="I204" s="16">
        <v>0.9</v>
      </c>
      <c r="J204" s="151"/>
      <c r="K204" s="151"/>
      <c r="L204" s="151"/>
      <c r="M204" s="151"/>
    </row>
    <row r="205" spans="1:13">
      <c r="A205" s="16" t="s">
        <v>1409</v>
      </c>
      <c r="B205" s="16">
        <v>594</v>
      </c>
      <c r="C205" s="16">
        <v>45.8</v>
      </c>
      <c r="D205" s="171">
        <v>41.8</v>
      </c>
      <c r="E205" s="16"/>
      <c r="F205" s="167" t="s">
        <v>1410</v>
      </c>
      <c r="G205" s="16">
        <v>312</v>
      </c>
      <c r="H205" s="16">
        <v>1.3</v>
      </c>
      <c r="I205" s="16">
        <v>1.2</v>
      </c>
      <c r="J205" s="151"/>
      <c r="K205" s="151"/>
      <c r="L205" s="151"/>
      <c r="M205" s="151"/>
    </row>
    <row r="206" spans="1:13">
      <c r="A206" s="16" t="s">
        <v>1411</v>
      </c>
      <c r="B206" s="16">
        <v>49</v>
      </c>
      <c r="C206" s="16">
        <v>10.1</v>
      </c>
      <c r="D206" s="171">
        <v>0</v>
      </c>
      <c r="E206" s="16"/>
      <c r="F206" s="167"/>
      <c r="G206" s="16"/>
      <c r="H206" s="16"/>
      <c r="I206" s="16"/>
      <c r="J206" s="151"/>
      <c r="K206" s="151"/>
      <c r="L206" s="151"/>
      <c r="M206" s="151"/>
    </row>
    <row r="207" spans="1:13">
      <c r="A207" s="16" t="s">
        <v>1412</v>
      </c>
      <c r="B207" s="16">
        <v>163</v>
      </c>
      <c r="C207" s="16">
        <v>11.3</v>
      </c>
      <c r="D207" s="171">
        <v>12.1</v>
      </c>
      <c r="E207" s="16"/>
      <c r="F207" s="165" t="s">
        <v>1413</v>
      </c>
      <c r="G207" s="16"/>
      <c r="H207" s="16"/>
      <c r="I207" s="16"/>
      <c r="J207" s="151"/>
      <c r="K207" s="151"/>
      <c r="L207" s="151"/>
      <c r="M207" s="151"/>
    </row>
    <row r="208" spans="1:13">
      <c r="A208" s="16"/>
      <c r="B208" s="156">
        <f>AVERAGE(B203:B207)</f>
        <v>220.6</v>
      </c>
      <c r="C208" s="156">
        <f t="shared" ref="C208:D208" si="5">AVERAGE(C203:C207)</f>
        <v>17.999999999999996</v>
      </c>
      <c r="D208" s="156">
        <f t="shared" si="5"/>
        <v>14.979999999999999</v>
      </c>
      <c r="E208" s="16"/>
      <c r="F208" s="167" t="s">
        <v>1414</v>
      </c>
      <c r="G208" s="16">
        <v>61</v>
      </c>
      <c r="H208" s="16">
        <v>3.3</v>
      </c>
      <c r="I208" s="16">
        <v>3.3</v>
      </c>
      <c r="J208" s="151"/>
      <c r="K208" s="151"/>
      <c r="L208" s="151"/>
      <c r="M208" s="151"/>
    </row>
    <row r="209" spans="1:13">
      <c r="A209" s="68" t="s">
        <v>1415</v>
      </c>
      <c r="B209" s="68"/>
      <c r="C209" s="16"/>
      <c r="D209" s="171"/>
      <c r="E209" s="16"/>
      <c r="F209" s="167" t="s">
        <v>1416</v>
      </c>
      <c r="G209" s="16">
        <v>48</v>
      </c>
      <c r="H209" s="16">
        <v>3.3</v>
      </c>
      <c r="I209" s="16">
        <v>1.5</v>
      </c>
      <c r="J209" s="151"/>
      <c r="K209" s="151"/>
      <c r="L209" s="151" t="s">
        <v>1546</v>
      </c>
      <c r="M209" s="151" t="s">
        <v>1547</v>
      </c>
    </row>
    <row r="210" spans="1:13">
      <c r="A210" s="16" t="s">
        <v>1417</v>
      </c>
      <c r="B210" s="16">
        <v>69</v>
      </c>
      <c r="C210" s="16">
        <v>10.9</v>
      </c>
      <c r="D210" s="171">
        <v>2.5</v>
      </c>
      <c r="E210" s="16"/>
      <c r="F210" s="167" t="s">
        <v>1418</v>
      </c>
      <c r="G210" s="16">
        <v>195</v>
      </c>
      <c r="H210" s="16">
        <v>2.7</v>
      </c>
      <c r="I210" s="16">
        <v>19.3</v>
      </c>
      <c r="J210" s="151"/>
      <c r="K210" s="151" t="s">
        <v>1545</v>
      </c>
      <c r="L210" s="159">
        <f>AVERAGE(G208:G209,G211:G217,G220:G221,G231,G232,G234,G235,G236,G237)</f>
        <v>153.41176470588235</v>
      </c>
      <c r="M210" s="159">
        <f>AVERAGE(H208:H209,H211:H217,H220:H221,H231,H232,H234,H235,H236,H237)</f>
        <v>9.405882352941175</v>
      </c>
    </row>
    <row r="211" spans="1:13">
      <c r="A211" s="16" t="s">
        <v>1419</v>
      </c>
      <c r="B211" s="16">
        <v>127</v>
      </c>
      <c r="C211" s="16">
        <v>20.3</v>
      </c>
      <c r="D211" s="171">
        <v>4.5</v>
      </c>
      <c r="E211" s="16"/>
      <c r="F211" s="167" t="s">
        <v>1420</v>
      </c>
      <c r="G211" s="16">
        <v>134</v>
      </c>
      <c r="H211" s="16">
        <v>6.8</v>
      </c>
      <c r="I211" s="16">
        <v>7.6</v>
      </c>
      <c r="J211" s="151"/>
      <c r="K211" s="151" t="s">
        <v>1549</v>
      </c>
      <c r="L211" s="159">
        <f>AVERAGE(G224,G225,G226,G233)</f>
        <v>172.75</v>
      </c>
      <c r="M211" s="159">
        <f>AVERAGE(H224,H225,H226,H233)</f>
        <v>21.950000000000003</v>
      </c>
    </row>
    <row r="212" spans="1:13">
      <c r="A212" s="16" t="s">
        <v>1421</v>
      </c>
      <c r="B212" s="16">
        <v>199</v>
      </c>
      <c r="C212" s="16">
        <v>31.3</v>
      </c>
      <c r="D212" s="171">
        <v>7.2</v>
      </c>
      <c r="E212" s="16"/>
      <c r="F212" s="167" t="s">
        <v>1422</v>
      </c>
      <c r="G212" s="16">
        <v>321</v>
      </c>
      <c r="H212" s="16">
        <v>7.9</v>
      </c>
      <c r="I212" s="16">
        <v>8.6999999999999993</v>
      </c>
      <c r="J212" s="151"/>
      <c r="K212" s="151" t="s">
        <v>1550</v>
      </c>
      <c r="L212" s="160">
        <f>AVERAGE(G208:G209,G212:G216,G231:G237)</f>
        <v>159.85714285714286</v>
      </c>
      <c r="M212" s="160">
        <f>AVERAGE(H208:H209,H212:H216,H231:H237)</f>
        <v>8.9714285714285698</v>
      </c>
    </row>
    <row r="213" spans="1:13">
      <c r="A213" s="16" t="s">
        <v>1423</v>
      </c>
      <c r="B213" s="16">
        <v>161</v>
      </c>
      <c r="C213" s="16">
        <v>19.8</v>
      </c>
      <c r="D213" s="171">
        <v>8.4</v>
      </c>
      <c r="E213" s="16"/>
      <c r="F213" s="167" t="s">
        <v>1424</v>
      </c>
      <c r="G213" s="16">
        <v>496</v>
      </c>
      <c r="H213" s="16">
        <v>26.3</v>
      </c>
      <c r="I213" s="16">
        <v>26.7</v>
      </c>
      <c r="J213" s="151"/>
      <c r="K213" s="151"/>
      <c r="L213" s="151"/>
      <c r="M213" s="151"/>
    </row>
    <row r="214" spans="1:13">
      <c r="A214" s="16" t="s">
        <v>1425</v>
      </c>
      <c r="B214" s="16">
        <v>262</v>
      </c>
      <c r="C214" s="16">
        <v>26.9</v>
      </c>
      <c r="D214" s="171">
        <v>15</v>
      </c>
      <c r="E214" s="16"/>
      <c r="F214" s="167" t="s">
        <v>1426</v>
      </c>
      <c r="G214" s="16">
        <v>35</v>
      </c>
      <c r="H214" s="16">
        <v>3.4</v>
      </c>
      <c r="I214" s="16">
        <v>0.2</v>
      </c>
      <c r="J214" s="151"/>
      <c r="K214" s="151"/>
      <c r="L214" s="151"/>
      <c r="M214" s="151"/>
    </row>
    <row r="215" spans="1:13">
      <c r="A215" s="16" t="s">
        <v>1427</v>
      </c>
      <c r="B215" s="16">
        <v>42</v>
      </c>
      <c r="C215" s="16">
        <v>8.3000000000000007</v>
      </c>
      <c r="D215" s="171">
        <v>0.8</v>
      </c>
      <c r="E215" s="16"/>
      <c r="F215" s="167" t="s">
        <v>1428</v>
      </c>
      <c r="G215" s="16">
        <v>78</v>
      </c>
      <c r="H215" s="16">
        <v>7.6</v>
      </c>
      <c r="I215" s="16">
        <v>0.2</v>
      </c>
      <c r="J215" s="151"/>
      <c r="K215" s="151"/>
      <c r="L215" s="151"/>
      <c r="M215" s="151"/>
    </row>
    <row r="216" spans="1:13">
      <c r="A216" s="16" t="s">
        <v>1429</v>
      </c>
      <c r="B216" s="16">
        <v>90</v>
      </c>
      <c r="C216" s="16">
        <v>17.899999999999999</v>
      </c>
      <c r="D216" s="171">
        <v>1.6</v>
      </c>
      <c r="E216" s="16"/>
      <c r="F216" s="167" t="s">
        <v>1430</v>
      </c>
      <c r="G216" s="16">
        <v>271</v>
      </c>
      <c r="H216" s="16">
        <v>10</v>
      </c>
      <c r="I216" s="16">
        <v>0.2</v>
      </c>
      <c r="J216" s="151"/>
      <c r="K216" s="151"/>
      <c r="L216" s="151"/>
      <c r="M216" s="151"/>
    </row>
    <row r="217" spans="1:13">
      <c r="A217" s="16" t="s">
        <v>1431</v>
      </c>
      <c r="B217" s="16">
        <v>186</v>
      </c>
      <c r="C217" s="16">
        <v>37.9</v>
      </c>
      <c r="D217" s="171">
        <v>1.9</v>
      </c>
      <c r="E217" s="16"/>
      <c r="F217" s="167" t="s">
        <v>1432</v>
      </c>
      <c r="G217" s="16">
        <v>362</v>
      </c>
      <c r="H217" s="16">
        <v>36.200000000000003</v>
      </c>
      <c r="I217" s="16">
        <v>0.8</v>
      </c>
      <c r="J217" s="151"/>
      <c r="K217" s="151"/>
      <c r="L217" s="151"/>
      <c r="M217" s="151"/>
    </row>
    <row r="218" spans="1:13">
      <c r="A218" s="16" t="s">
        <v>1433</v>
      </c>
      <c r="B218" s="16">
        <v>173</v>
      </c>
      <c r="C218" s="16">
        <v>25</v>
      </c>
      <c r="D218" s="171">
        <v>6.3</v>
      </c>
      <c r="E218" s="16"/>
      <c r="F218" s="167" t="s">
        <v>1434</v>
      </c>
      <c r="G218" s="16">
        <v>75</v>
      </c>
      <c r="H218" s="16">
        <v>3</v>
      </c>
      <c r="I218" s="16">
        <v>5.2</v>
      </c>
      <c r="J218" s="151"/>
      <c r="K218" s="151"/>
      <c r="L218" s="151"/>
      <c r="M218" s="151"/>
    </row>
    <row r="219" spans="1:13">
      <c r="A219" s="16" t="s">
        <v>1435</v>
      </c>
      <c r="B219" s="16">
        <v>320</v>
      </c>
      <c r="C219" s="16">
        <v>25</v>
      </c>
      <c r="D219" s="171">
        <v>23.5</v>
      </c>
      <c r="E219" s="16"/>
      <c r="F219" s="167" t="s">
        <v>1436</v>
      </c>
      <c r="G219" s="16">
        <v>387</v>
      </c>
      <c r="H219" s="16">
        <v>34.299999999999997</v>
      </c>
      <c r="I219" s="16">
        <v>5.8</v>
      </c>
      <c r="J219" s="151"/>
      <c r="K219" s="151"/>
      <c r="L219" s="151"/>
      <c r="M219" s="151"/>
    </row>
    <row r="220" spans="1:13">
      <c r="A220" s="16" t="s">
        <v>1437</v>
      </c>
      <c r="B220" s="16">
        <v>86</v>
      </c>
      <c r="C220" s="16">
        <v>12.6</v>
      </c>
      <c r="D220" s="171">
        <v>3.6</v>
      </c>
      <c r="E220" s="16"/>
      <c r="F220" s="167" t="s">
        <v>1438</v>
      </c>
      <c r="G220" s="16">
        <v>61</v>
      </c>
      <c r="H220" s="16">
        <v>3.5</v>
      </c>
      <c r="I220" s="16">
        <v>3.3</v>
      </c>
      <c r="J220" s="151"/>
      <c r="K220" s="151"/>
      <c r="L220" s="151"/>
      <c r="M220" s="151"/>
    </row>
    <row r="221" spans="1:13">
      <c r="A221" s="16" t="s">
        <v>1439</v>
      </c>
      <c r="B221" s="16">
        <v>141</v>
      </c>
      <c r="C221" s="16">
        <v>20.2</v>
      </c>
      <c r="D221" s="171">
        <v>6</v>
      </c>
      <c r="E221" s="16"/>
      <c r="F221" s="167" t="s">
        <v>1440</v>
      </c>
      <c r="G221" s="16">
        <v>82</v>
      </c>
      <c r="H221" s="16">
        <v>4.7</v>
      </c>
      <c r="I221" s="16">
        <v>1.5</v>
      </c>
      <c r="J221" s="151"/>
      <c r="K221" s="151"/>
      <c r="L221" s="151"/>
      <c r="M221" s="151"/>
    </row>
    <row r="222" spans="1:13">
      <c r="A222" s="16" t="s">
        <v>1441</v>
      </c>
      <c r="B222" s="16">
        <v>156</v>
      </c>
      <c r="C222" s="16">
        <v>26.4</v>
      </c>
      <c r="D222" s="171">
        <v>4.5</v>
      </c>
      <c r="E222" s="16"/>
      <c r="F222" s="167" t="s">
        <v>1442</v>
      </c>
      <c r="G222" s="16">
        <v>61</v>
      </c>
      <c r="H222" s="16">
        <v>1.8</v>
      </c>
      <c r="I222" s="16">
        <v>3.4</v>
      </c>
      <c r="J222" s="151"/>
      <c r="K222" s="151"/>
      <c r="L222" s="151"/>
      <c r="M222" s="151"/>
    </row>
    <row r="223" spans="1:13">
      <c r="A223" s="16" t="s">
        <v>1443</v>
      </c>
      <c r="B223" s="16">
        <v>185</v>
      </c>
      <c r="C223" s="16">
        <v>20.8</v>
      </c>
      <c r="D223" s="171">
        <v>10.199999999999999</v>
      </c>
      <c r="E223" s="16"/>
      <c r="F223" s="167" t="s">
        <v>1444</v>
      </c>
      <c r="G223" s="16">
        <v>387</v>
      </c>
      <c r="H223" s="16">
        <v>25</v>
      </c>
      <c r="I223" s="16">
        <v>31</v>
      </c>
      <c r="J223" s="151"/>
      <c r="K223" s="151"/>
      <c r="L223" s="151"/>
      <c r="M223" s="151"/>
    </row>
    <row r="224" spans="1:13">
      <c r="A224" s="16" t="s">
        <v>1445</v>
      </c>
      <c r="B224" s="16">
        <v>318</v>
      </c>
      <c r="C224" s="16">
        <v>44.2</v>
      </c>
      <c r="D224" s="171">
        <v>13.6</v>
      </c>
      <c r="E224" s="16"/>
      <c r="F224" s="167" t="s">
        <v>1446</v>
      </c>
      <c r="G224" s="16">
        <v>247</v>
      </c>
      <c r="H224" s="16">
        <v>46</v>
      </c>
      <c r="I224" s="16">
        <v>4</v>
      </c>
      <c r="J224" s="151"/>
      <c r="K224" s="151"/>
      <c r="L224" s="151"/>
      <c r="M224" s="151"/>
    </row>
    <row r="225" spans="1:13">
      <c r="A225" s="16" t="s">
        <v>1447</v>
      </c>
      <c r="B225" s="16">
        <v>64</v>
      </c>
      <c r="C225" s="16">
        <v>10.3</v>
      </c>
      <c r="D225" s="171">
        <v>2.2000000000000002</v>
      </c>
      <c r="E225" s="16"/>
      <c r="F225" s="167" t="s">
        <v>1448</v>
      </c>
      <c r="G225" s="16">
        <v>72</v>
      </c>
      <c r="H225" s="16">
        <v>12.4</v>
      </c>
      <c r="I225" s="16">
        <v>1</v>
      </c>
      <c r="J225" s="151"/>
      <c r="K225" s="151"/>
      <c r="L225" s="151"/>
      <c r="M225" s="151"/>
    </row>
    <row r="226" spans="1:13">
      <c r="A226" s="16" t="s">
        <v>1449</v>
      </c>
      <c r="B226" s="16">
        <v>115</v>
      </c>
      <c r="C226" s="16">
        <v>19</v>
      </c>
      <c r="D226" s="171">
        <v>3.8</v>
      </c>
      <c r="E226" s="16"/>
      <c r="F226" s="167" t="s">
        <v>1450</v>
      </c>
      <c r="G226" s="16">
        <v>103</v>
      </c>
      <c r="H226" s="16">
        <v>12.5</v>
      </c>
      <c r="I226" s="16">
        <v>4.5</v>
      </c>
      <c r="J226" s="151"/>
      <c r="K226" s="151"/>
      <c r="L226" s="151"/>
      <c r="M226" s="151"/>
    </row>
    <row r="227" spans="1:13">
      <c r="A227" s="16" t="s">
        <v>1451</v>
      </c>
      <c r="B227" s="16">
        <v>169</v>
      </c>
      <c r="C227" s="16">
        <v>32.1</v>
      </c>
      <c r="D227" s="171">
        <v>3.2</v>
      </c>
      <c r="E227" s="16"/>
      <c r="F227" s="167" t="s">
        <v>1452</v>
      </c>
      <c r="G227" s="16">
        <v>26</v>
      </c>
      <c r="H227" s="16">
        <v>0.8</v>
      </c>
      <c r="I227" s="16">
        <v>0.2</v>
      </c>
      <c r="J227" s="151"/>
      <c r="K227" s="151"/>
      <c r="L227" s="151"/>
      <c r="M227" s="151"/>
    </row>
    <row r="228" spans="1:13">
      <c r="A228" s="16" t="s">
        <v>1453</v>
      </c>
      <c r="B228" s="16">
        <v>179</v>
      </c>
      <c r="C228" s="16">
        <v>22.9</v>
      </c>
      <c r="D228" s="171">
        <v>8.1999999999999993</v>
      </c>
      <c r="E228" s="16"/>
      <c r="F228" s="167" t="s">
        <v>1454</v>
      </c>
      <c r="G228" s="16">
        <v>26</v>
      </c>
      <c r="H228" s="16">
        <v>0.9</v>
      </c>
      <c r="I228" s="16">
        <v>0.3</v>
      </c>
      <c r="J228" s="151"/>
      <c r="K228" s="151"/>
      <c r="L228" s="151"/>
      <c r="M228" s="151"/>
    </row>
    <row r="229" spans="1:13">
      <c r="A229" s="16" t="s">
        <v>1455</v>
      </c>
      <c r="B229" s="16">
        <v>132</v>
      </c>
      <c r="C229" s="16">
        <v>17.5</v>
      </c>
      <c r="D229" s="171">
        <v>5</v>
      </c>
      <c r="E229" s="16"/>
      <c r="F229" s="167" t="s">
        <v>1456</v>
      </c>
      <c r="G229" s="16">
        <v>346</v>
      </c>
      <c r="H229" s="16">
        <v>12.3</v>
      </c>
      <c r="I229" s="16">
        <v>0.8</v>
      </c>
      <c r="J229" s="151"/>
      <c r="K229" s="151"/>
      <c r="L229" s="151"/>
      <c r="M229" s="151"/>
    </row>
    <row r="230" spans="1:13">
      <c r="A230" s="16" t="s">
        <v>1457</v>
      </c>
      <c r="B230" s="16">
        <v>47</v>
      </c>
      <c r="C230" s="16">
        <v>9.3000000000000007</v>
      </c>
      <c r="D230" s="171">
        <v>0.5</v>
      </c>
      <c r="E230" s="16"/>
      <c r="F230" s="167" t="s">
        <v>1458</v>
      </c>
      <c r="G230" s="16">
        <v>427</v>
      </c>
      <c r="H230" s="16">
        <v>100</v>
      </c>
      <c r="I230" s="16">
        <v>0</v>
      </c>
      <c r="J230" s="151"/>
      <c r="K230" s="151"/>
      <c r="L230" s="151"/>
      <c r="M230" s="151"/>
    </row>
    <row r="231" spans="1:13">
      <c r="A231" s="16" t="s">
        <v>1459</v>
      </c>
      <c r="B231" s="16">
        <v>91</v>
      </c>
      <c r="C231" s="16">
        <v>18.399999999999999</v>
      </c>
      <c r="D231" s="171">
        <v>0.8</v>
      </c>
      <c r="E231" s="16"/>
      <c r="F231" s="167" t="s">
        <v>1460</v>
      </c>
      <c r="G231" s="16">
        <v>97</v>
      </c>
      <c r="H231" s="16">
        <v>3.8</v>
      </c>
      <c r="I231" s="16">
        <v>6.9</v>
      </c>
      <c r="J231" s="151"/>
      <c r="K231" s="151"/>
      <c r="L231" s="151"/>
      <c r="M231" s="151"/>
    </row>
    <row r="232" spans="1:13">
      <c r="A232" s="16" t="s">
        <v>1461</v>
      </c>
      <c r="B232" s="16">
        <v>149</v>
      </c>
      <c r="C232" s="16">
        <v>25.4</v>
      </c>
      <c r="D232" s="171">
        <v>1.3</v>
      </c>
      <c r="E232" s="16"/>
      <c r="F232" s="167" t="s">
        <v>1462</v>
      </c>
      <c r="G232" s="16">
        <v>41</v>
      </c>
      <c r="H232" s="16">
        <v>4.3</v>
      </c>
      <c r="I232" s="16">
        <v>0.1</v>
      </c>
      <c r="J232" s="151"/>
      <c r="K232" s="151"/>
      <c r="L232" s="151"/>
      <c r="M232" s="151"/>
    </row>
    <row r="233" spans="1:13">
      <c r="A233" s="16" t="s">
        <v>1463</v>
      </c>
      <c r="B233" s="16">
        <v>98</v>
      </c>
      <c r="C233" s="16">
        <v>19.8</v>
      </c>
      <c r="D233" s="171">
        <v>1.1000000000000001</v>
      </c>
      <c r="E233" s="16"/>
      <c r="F233" s="167" t="s">
        <v>1464</v>
      </c>
      <c r="G233" s="16">
        <v>269</v>
      </c>
      <c r="H233" s="16">
        <v>16.899999999999999</v>
      </c>
      <c r="I233" s="16">
        <v>22</v>
      </c>
      <c r="J233" s="151"/>
      <c r="K233" s="151"/>
      <c r="L233" s="151"/>
      <c r="M233" s="151"/>
    </row>
    <row r="234" spans="1:13">
      <c r="A234" s="16" t="s">
        <v>1465</v>
      </c>
      <c r="B234" s="16">
        <v>113</v>
      </c>
      <c r="C234" s="16">
        <v>19.5</v>
      </c>
      <c r="D234" s="171">
        <v>1.8</v>
      </c>
      <c r="E234" s="16"/>
      <c r="F234" s="167" t="s">
        <v>1466</v>
      </c>
      <c r="G234" s="16">
        <v>94</v>
      </c>
      <c r="H234" s="16">
        <v>5.9</v>
      </c>
      <c r="I234" s="16">
        <v>6</v>
      </c>
      <c r="J234" s="151"/>
      <c r="K234" s="151"/>
      <c r="L234" s="151"/>
      <c r="M234" s="151"/>
    </row>
    <row r="235" spans="1:13">
      <c r="A235" s="16" t="s">
        <v>1467</v>
      </c>
      <c r="B235" s="16">
        <v>15</v>
      </c>
      <c r="C235" s="16">
        <v>2.2999999999999998</v>
      </c>
      <c r="D235" s="171">
        <v>0.2</v>
      </c>
      <c r="E235" s="16"/>
      <c r="F235" s="167" t="s">
        <v>1468</v>
      </c>
      <c r="G235" s="16">
        <v>310</v>
      </c>
      <c r="H235" s="16">
        <v>23.2</v>
      </c>
      <c r="I235" s="16">
        <v>22.8</v>
      </c>
      <c r="J235" s="151"/>
      <c r="K235" s="151"/>
      <c r="L235" s="151"/>
      <c r="M235" s="151"/>
    </row>
    <row r="236" spans="1:13">
      <c r="A236" s="16" t="s">
        <v>1469</v>
      </c>
      <c r="B236" s="16">
        <v>71</v>
      </c>
      <c r="C236" s="16">
        <v>10.5</v>
      </c>
      <c r="D236" s="171">
        <v>1.2</v>
      </c>
      <c r="E236" s="16"/>
      <c r="F236" s="167" t="s">
        <v>1470</v>
      </c>
      <c r="G236" s="16">
        <v>48</v>
      </c>
      <c r="H236" s="16">
        <v>6.1</v>
      </c>
      <c r="I236" s="16">
        <v>0.4</v>
      </c>
      <c r="J236" s="151"/>
      <c r="K236" s="151"/>
      <c r="L236" s="151"/>
      <c r="M236" s="151"/>
    </row>
    <row r="237" spans="1:13">
      <c r="A237" s="16" t="s">
        <v>1471</v>
      </c>
      <c r="B237" s="16">
        <v>345</v>
      </c>
      <c r="C237" s="16">
        <v>49.4</v>
      </c>
      <c r="D237" s="171">
        <v>4.7</v>
      </c>
      <c r="E237" s="16"/>
      <c r="F237" s="167" t="s">
        <v>1472</v>
      </c>
      <c r="G237" s="16">
        <v>69</v>
      </c>
      <c r="H237" s="16">
        <v>3.6</v>
      </c>
      <c r="I237" s="16">
        <v>4.0999999999999996</v>
      </c>
      <c r="J237" s="151"/>
      <c r="K237" s="151"/>
      <c r="L237" s="151"/>
      <c r="M237" s="151"/>
    </row>
    <row r="238" spans="1:13">
      <c r="A238" s="151"/>
      <c r="B238" s="158">
        <f>AVERAGE(B210:B237)</f>
        <v>146.53571428571428</v>
      </c>
      <c r="C238" s="158">
        <f t="shared" ref="C238:D238" si="6">AVERAGE(C210:C237)</f>
        <v>21.56785714285714</v>
      </c>
      <c r="D238" s="158">
        <f t="shared" si="6"/>
        <v>5.1285714285714281</v>
      </c>
      <c r="E238" s="151"/>
      <c r="F238" s="168"/>
      <c r="G238" s="151"/>
      <c r="H238" s="151"/>
      <c r="I238" s="151"/>
      <c r="J238" s="151"/>
      <c r="K238" s="151"/>
      <c r="L238" s="151"/>
      <c r="M238" s="151"/>
    </row>
    <row r="239" spans="1:13" ht="19">
      <c r="A239" s="154"/>
      <c r="B239" s="151"/>
      <c r="C239" s="151"/>
      <c r="D239" s="173"/>
      <c r="E239" s="151"/>
      <c r="F239" s="168"/>
      <c r="G239" s="151"/>
      <c r="H239" s="151"/>
      <c r="I239" s="151"/>
      <c r="J239" s="151"/>
      <c r="K239" s="151"/>
      <c r="L239" s="151"/>
      <c r="M239" s="151"/>
    </row>
    <row r="240" spans="1:13">
      <c r="A240" s="151"/>
      <c r="B240" s="151"/>
      <c r="C240" s="151"/>
      <c r="D240" s="173"/>
      <c r="E240" s="151"/>
      <c r="F240" s="168"/>
      <c r="G240" s="151"/>
      <c r="H240" s="151"/>
      <c r="I240" s="151"/>
      <c r="J240" s="151"/>
      <c r="K240" s="151"/>
      <c r="L240" s="151"/>
      <c r="M240" s="151"/>
    </row>
    <row r="241" spans="1:13">
      <c r="A241" s="16" t="s">
        <v>1473</v>
      </c>
      <c r="B241" s="16">
        <v>280</v>
      </c>
      <c r="C241" s="16">
        <v>16</v>
      </c>
      <c r="D241" s="171">
        <v>15</v>
      </c>
      <c r="E241" s="16"/>
      <c r="F241" s="167" t="s">
        <v>1474</v>
      </c>
      <c r="G241" s="16">
        <v>847</v>
      </c>
      <c r="H241" s="16">
        <v>2</v>
      </c>
      <c r="I241" s="16">
        <v>93</v>
      </c>
      <c r="J241" s="151"/>
      <c r="K241" s="151"/>
      <c r="L241" s="151"/>
      <c r="M241" s="151"/>
    </row>
    <row r="242" spans="1:13">
      <c r="A242" s="16" t="s">
        <v>1475</v>
      </c>
      <c r="B242" s="16">
        <v>35</v>
      </c>
      <c r="C242" s="16">
        <v>3.4</v>
      </c>
      <c r="D242" s="171">
        <v>0.2</v>
      </c>
      <c r="E242" s="16"/>
      <c r="F242" s="167" t="s">
        <v>1476</v>
      </c>
      <c r="G242" s="16">
        <v>717</v>
      </c>
      <c r="H242" s="16">
        <v>0.9</v>
      </c>
      <c r="I242" s="16">
        <v>81.099999999999994</v>
      </c>
      <c r="J242" s="151"/>
      <c r="K242" s="151"/>
      <c r="L242" s="151"/>
      <c r="M242" s="151"/>
    </row>
    <row r="243" spans="1:13">
      <c r="A243" s="16" t="s">
        <v>1477</v>
      </c>
      <c r="B243" s="16">
        <v>73</v>
      </c>
      <c r="C243" s="16">
        <v>3.8</v>
      </c>
      <c r="D243" s="171">
        <v>4.5</v>
      </c>
      <c r="E243" s="16"/>
      <c r="F243" s="167" t="s">
        <v>1478</v>
      </c>
      <c r="G243" s="16">
        <v>712</v>
      </c>
      <c r="H243" s="16">
        <v>4.7</v>
      </c>
      <c r="I243" s="16">
        <v>76.7</v>
      </c>
      <c r="J243" s="151"/>
      <c r="K243" s="151"/>
      <c r="L243" s="151"/>
      <c r="M243" s="151"/>
    </row>
    <row r="244" spans="1:13">
      <c r="A244" s="16"/>
      <c r="B244" s="152">
        <v>170.2</v>
      </c>
      <c r="C244" s="152">
        <v>13.7</v>
      </c>
      <c r="D244" s="175">
        <v>6.4</v>
      </c>
      <c r="E244" s="16"/>
      <c r="F244" s="167" t="s">
        <v>1479</v>
      </c>
      <c r="G244" s="16">
        <v>712</v>
      </c>
      <c r="H244" s="16">
        <v>4.7</v>
      </c>
      <c r="I244" s="16">
        <v>76.7</v>
      </c>
      <c r="J244" s="151"/>
      <c r="K244" s="151"/>
      <c r="L244" s="151"/>
      <c r="M244" s="151"/>
    </row>
    <row r="245" spans="1:13">
      <c r="A245" s="68" t="s">
        <v>1480</v>
      </c>
      <c r="B245" s="16"/>
      <c r="C245" s="16"/>
      <c r="D245" s="171"/>
      <c r="E245" s="16"/>
      <c r="F245" s="167" t="s">
        <v>1481</v>
      </c>
      <c r="G245" s="16">
        <v>902</v>
      </c>
      <c r="H245" s="16">
        <v>0</v>
      </c>
      <c r="I245" s="16">
        <v>100</v>
      </c>
      <c r="J245" s="151"/>
      <c r="K245" s="151"/>
      <c r="L245" s="151"/>
      <c r="M245" s="151"/>
    </row>
    <row r="246" spans="1:13">
      <c r="A246" s="68" t="s">
        <v>1482</v>
      </c>
      <c r="B246" s="16"/>
      <c r="C246" s="16"/>
      <c r="D246" s="171"/>
      <c r="E246" s="16"/>
      <c r="F246" s="167" t="s">
        <v>1483</v>
      </c>
      <c r="G246" s="16">
        <v>629</v>
      </c>
      <c r="H246" s="16">
        <v>3.7</v>
      </c>
      <c r="I246" s="16">
        <v>68</v>
      </c>
      <c r="J246" s="151"/>
      <c r="K246" s="151"/>
      <c r="L246" s="151"/>
      <c r="M246" s="151"/>
    </row>
    <row r="247" spans="1:13">
      <c r="A247" s="16"/>
      <c r="B247" s="16"/>
      <c r="C247" s="16"/>
      <c r="D247" s="171"/>
      <c r="E247" s="16"/>
      <c r="F247" s="167"/>
      <c r="G247" s="16"/>
      <c r="H247" s="16"/>
      <c r="I247" s="16"/>
      <c r="J247" s="151"/>
      <c r="K247" s="151"/>
      <c r="L247" s="151"/>
      <c r="M247" s="151"/>
    </row>
    <row r="248" spans="1:13">
      <c r="A248" s="16" t="s">
        <v>1484</v>
      </c>
      <c r="B248" s="16">
        <v>884</v>
      </c>
      <c r="C248" s="16">
        <v>0</v>
      </c>
      <c r="D248" s="171">
        <v>100</v>
      </c>
      <c r="E248" s="16"/>
      <c r="F248" s="167" t="s">
        <v>1485</v>
      </c>
      <c r="G248" s="16">
        <v>901</v>
      </c>
      <c r="H248" s="16">
        <v>0</v>
      </c>
      <c r="I248" s="16">
        <v>99.8</v>
      </c>
      <c r="J248" s="151"/>
      <c r="K248" s="151"/>
      <c r="L248" s="151"/>
      <c r="M248" s="151"/>
    </row>
    <row r="249" spans="1:13">
      <c r="A249" s="16" t="s">
        <v>1486</v>
      </c>
      <c r="B249" s="16">
        <v>884</v>
      </c>
      <c r="C249" s="16">
        <v>0</v>
      </c>
      <c r="D249" s="171">
        <v>100</v>
      </c>
      <c r="E249" s="16"/>
      <c r="F249" s="167" t="s">
        <v>1487</v>
      </c>
      <c r="G249" s="16">
        <v>847</v>
      </c>
      <c r="H249" s="16">
        <v>2</v>
      </c>
      <c r="I249" s="16">
        <v>93</v>
      </c>
      <c r="J249" s="151"/>
      <c r="K249" s="151"/>
      <c r="L249" s="151"/>
      <c r="M249" s="151"/>
    </row>
    <row r="250" spans="1:13">
      <c r="A250" s="16" t="s">
        <v>1488</v>
      </c>
      <c r="B250" s="16">
        <v>884</v>
      </c>
      <c r="C250" s="16">
        <v>0</v>
      </c>
      <c r="D250" s="171">
        <v>100</v>
      </c>
      <c r="E250" s="16"/>
      <c r="F250" s="167" t="s">
        <v>1489</v>
      </c>
      <c r="G250" s="16">
        <v>847</v>
      </c>
      <c r="H250" s="16">
        <v>2</v>
      </c>
      <c r="I250" s="16">
        <v>93</v>
      </c>
      <c r="J250" s="151"/>
      <c r="K250" s="151"/>
      <c r="L250" s="151"/>
      <c r="M250" s="151"/>
    </row>
    <row r="251" spans="1:13">
      <c r="A251" s="16" t="s">
        <v>1490</v>
      </c>
      <c r="B251" s="16">
        <v>884</v>
      </c>
      <c r="C251" s="16">
        <v>0</v>
      </c>
      <c r="D251" s="171">
        <v>100</v>
      </c>
      <c r="E251" s="16"/>
      <c r="F251" s="167" t="s">
        <v>1491</v>
      </c>
      <c r="G251" s="16">
        <v>902</v>
      </c>
      <c r="H251" s="16">
        <v>0</v>
      </c>
      <c r="I251" s="16">
        <v>100</v>
      </c>
      <c r="J251" s="151"/>
      <c r="K251" s="151"/>
      <c r="L251" s="151"/>
      <c r="M251" s="151"/>
    </row>
    <row r="252" spans="1:13">
      <c r="A252" s="16" t="s">
        <v>1492</v>
      </c>
      <c r="B252" s="16">
        <v>884</v>
      </c>
      <c r="C252" s="16">
        <v>0</v>
      </c>
      <c r="D252" s="171">
        <v>100</v>
      </c>
      <c r="E252" s="16"/>
      <c r="F252" s="167" t="s">
        <v>1493</v>
      </c>
      <c r="G252" s="16">
        <v>884</v>
      </c>
      <c r="H252" s="16">
        <v>0</v>
      </c>
      <c r="I252" s="16">
        <v>100</v>
      </c>
      <c r="J252" s="151"/>
      <c r="K252" s="151"/>
      <c r="L252" s="151"/>
      <c r="M252" s="151"/>
    </row>
    <row r="253" spans="1:13">
      <c r="A253" s="16" t="s">
        <v>1494</v>
      </c>
      <c r="B253" s="16">
        <v>884</v>
      </c>
      <c r="C253" s="16">
        <v>0</v>
      </c>
      <c r="D253" s="171">
        <v>100</v>
      </c>
      <c r="E253" s="16"/>
      <c r="F253" s="167" t="s">
        <v>1495</v>
      </c>
      <c r="G253" s="16">
        <v>720</v>
      </c>
      <c r="H253" s="16">
        <v>0.6</v>
      </c>
      <c r="I253" s="16">
        <v>81</v>
      </c>
      <c r="J253" s="151"/>
      <c r="K253" s="151"/>
      <c r="L253" s="151"/>
      <c r="M253" s="151"/>
    </row>
    <row r="254" spans="1:13">
      <c r="A254" s="16" t="s">
        <v>1496</v>
      </c>
      <c r="B254" s="16">
        <v>884</v>
      </c>
      <c r="C254" s="16">
        <v>0</v>
      </c>
      <c r="D254" s="171">
        <v>100</v>
      </c>
      <c r="E254" s="16"/>
      <c r="F254" s="167" t="s">
        <v>1497</v>
      </c>
      <c r="G254" s="16">
        <v>902</v>
      </c>
      <c r="H254" s="16">
        <v>0</v>
      </c>
      <c r="I254" s="16">
        <v>100</v>
      </c>
      <c r="J254" s="151"/>
      <c r="K254" s="151"/>
      <c r="L254" s="151"/>
      <c r="M254" s="151"/>
    </row>
    <row r="255" spans="1:13">
      <c r="A255" s="16" t="s">
        <v>1498</v>
      </c>
      <c r="B255" s="16">
        <v>884</v>
      </c>
      <c r="C255" s="16">
        <v>0</v>
      </c>
      <c r="D255" s="171">
        <v>100</v>
      </c>
      <c r="E255" s="16"/>
      <c r="F255" s="167" t="s">
        <v>1499</v>
      </c>
      <c r="G255" s="16">
        <v>902</v>
      </c>
      <c r="H255" s="16">
        <v>0</v>
      </c>
      <c r="I255" s="16">
        <v>100</v>
      </c>
      <c r="J255" s="151"/>
      <c r="K255" s="151"/>
      <c r="L255" s="151"/>
      <c r="M255" s="151"/>
    </row>
    <row r="256" spans="1:13">
      <c r="A256" s="16" t="s">
        <v>1500</v>
      </c>
      <c r="B256" s="16">
        <v>711</v>
      </c>
      <c r="C256" s="16">
        <v>0</v>
      </c>
      <c r="D256" s="171">
        <v>85</v>
      </c>
      <c r="E256" s="16"/>
      <c r="F256" s="167" t="s">
        <v>1501</v>
      </c>
      <c r="G256" s="16">
        <v>902</v>
      </c>
      <c r="H256" s="16">
        <v>0</v>
      </c>
      <c r="I256" s="16">
        <v>100</v>
      </c>
      <c r="J256" s="151"/>
      <c r="K256" s="151"/>
      <c r="L256" s="151"/>
      <c r="M256" s="151"/>
    </row>
    <row r="257" spans="1:13">
      <c r="A257" s="16" t="s">
        <v>1502</v>
      </c>
      <c r="B257" s="16">
        <v>884</v>
      </c>
      <c r="C257" s="16">
        <v>0</v>
      </c>
      <c r="D257" s="171">
        <v>100</v>
      </c>
      <c r="E257" s="16"/>
      <c r="F257" s="167" t="s">
        <v>1503</v>
      </c>
      <c r="G257" s="16">
        <v>902</v>
      </c>
      <c r="H257" s="16">
        <v>0</v>
      </c>
      <c r="I257" s="16">
        <v>100</v>
      </c>
      <c r="J257" s="151"/>
      <c r="K257" s="151"/>
      <c r="L257" s="151"/>
      <c r="M257" s="151"/>
    </row>
    <row r="258" spans="1:13">
      <c r="A258" s="16" t="s">
        <v>1504</v>
      </c>
      <c r="B258" s="16">
        <v>884</v>
      </c>
      <c r="C258" s="16">
        <v>0</v>
      </c>
      <c r="D258" s="171">
        <v>100</v>
      </c>
      <c r="E258" s="16"/>
      <c r="F258" s="167" t="s">
        <v>1505</v>
      </c>
      <c r="G258" s="16">
        <v>902</v>
      </c>
      <c r="H258" s="16">
        <v>0</v>
      </c>
      <c r="I258" s="16">
        <v>100</v>
      </c>
      <c r="J258" s="151"/>
      <c r="K258" s="151"/>
      <c r="L258" s="151"/>
      <c r="M258" s="151"/>
    </row>
    <row r="259" spans="1:13">
      <c r="A259" s="16" t="s">
        <v>1506</v>
      </c>
      <c r="B259" s="16">
        <v>884</v>
      </c>
      <c r="C259" s="16">
        <v>0</v>
      </c>
      <c r="D259" s="171">
        <v>100</v>
      </c>
      <c r="E259" s="16"/>
      <c r="F259" s="167" t="s">
        <v>1507</v>
      </c>
      <c r="G259" s="16">
        <v>902</v>
      </c>
      <c r="H259" s="16">
        <v>0</v>
      </c>
      <c r="I259" s="16">
        <v>100</v>
      </c>
      <c r="J259" s="151"/>
      <c r="K259" s="151"/>
      <c r="L259" s="151"/>
      <c r="M259" s="151"/>
    </row>
    <row r="260" spans="1:13">
      <c r="A260" s="16" t="s">
        <v>1508</v>
      </c>
      <c r="B260" s="16">
        <v>884</v>
      </c>
      <c r="C260" s="16">
        <v>0</v>
      </c>
      <c r="D260" s="171">
        <v>100</v>
      </c>
      <c r="E260" s="16"/>
      <c r="F260" s="167" t="s">
        <v>1509</v>
      </c>
      <c r="G260" s="16">
        <v>902</v>
      </c>
      <c r="H260" s="16">
        <v>0</v>
      </c>
      <c r="I260" s="16">
        <v>100</v>
      </c>
      <c r="J260" s="151"/>
      <c r="K260" s="151"/>
      <c r="L260" s="151"/>
      <c r="M260" s="151"/>
    </row>
    <row r="261" spans="1:13">
      <c r="A261" s="16" t="s">
        <v>1510</v>
      </c>
      <c r="B261" s="16">
        <v>884</v>
      </c>
      <c r="C261" s="16">
        <v>0</v>
      </c>
      <c r="D261" s="171">
        <v>100</v>
      </c>
      <c r="E261" s="16"/>
      <c r="F261" s="167" t="s">
        <v>1511</v>
      </c>
      <c r="G261" s="16">
        <v>902</v>
      </c>
      <c r="H261" s="16">
        <v>0</v>
      </c>
      <c r="I261" s="16">
        <v>100</v>
      </c>
      <c r="J261" s="151"/>
      <c r="K261" s="151"/>
      <c r="L261" s="151"/>
      <c r="M261" s="151"/>
    </row>
    <row r="262" spans="1:13">
      <c r="A262" s="16" t="s">
        <v>1512</v>
      </c>
      <c r="B262" s="16">
        <v>884</v>
      </c>
      <c r="C262" s="16">
        <v>0</v>
      </c>
      <c r="D262" s="171">
        <v>100</v>
      </c>
      <c r="E262" s="16"/>
      <c r="F262" s="167" t="s">
        <v>1513</v>
      </c>
      <c r="G262" s="16">
        <v>902</v>
      </c>
      <c r="H262" s="16">
        <v>0</v>
      </c>
      <c r="I262" s="16">
        <v>100</v>
      </c>
      <c r="J262" s="151"/>
      <c r="K262" s="151"/>
      <c r="L262" s="151"/>
      <c r="M262" s="151"/>
    </row>
    <row r="263" spans="1:13">
      <c r="A263" s="16" t="s">
        <v>1514</v>
      </c>
      <c r="B263" s="16">
        <v>884</v>
      </c>
      <c r="C263" s="16">
        <v>0</v>
      </c>
      <c r="D263" s="171">
        <v>100</v>
      </c>
      <c r="E263" s="16"/>
      <c r="F263" s="167"/>
      <c r="G263" s="16"/>
      <c r="H263" s="16"/>
      <c r="I263" s="16"/>
      <c r="J263" s="151"/>
      <c r="K263" s="151"/>
      <c r="L263" s="151"/>
      <c r="M263" s="151"/>
    </row>
    <row r="264" spans="1:13">
      <c r="A264" s="16" t="s">
        <v>1515</v>
      </c>
      <c r="B264" s="16">
        <v>884</v>
      </c>
      <c r="C264" s="16">
        <v>0</v>
      </c>
      <c r="D264" s="171">
        <v>100</v>
      </c>
      <c r="E264" s="16"/>
      <c r="F264" s="165" t="s">
        <v>1516</v>
      </c>
      <c r="G264" s="16"/>
      <c r="H264" s="16"/>
      <c r="I264" s="16"/>
      <c r="J264" s="151"/>
      <c r="K264" s="151"/>
      <c r="L264" s="151"/>
      <c r="M264" s="151"/>
    </row>
    <row r="265" spans="1:13">
      <c r="A265" s="16" t="s">
        <v>1517</v>
      </c>
      <c r="B265" s="16">
        <v>884</v>
      </c>
      <c r="C265" s="16">
        <v>0</v>
      </c>
      <c r="D265" s="171">
        <v>100</v>
      </c>
      <c r="E265" s="16"/>
      <c r="F265" s="167" t="s">
        <v>1518</v>
      </c>
      <c r="G265" s="16">
        <v>368</v>
      </c>
      <c r="H265" s="16">
        <v>15.2</v>
      </c>
      <c r="I265" s="16">
        <v>2.9</v>
      </c>
      <c r="J265" s="151"/>
      <c r="K265" s="151"/>
      <c r="L265" s="151"/>
      <c r="M265" s="151"/>
    </row>
    <row r="266" spans="1:13">
      <c r="A266" s="16" t="s">
        <v>1519</v>
      </c>
      <c r="B266" s="16">
        <v>884</v>
      </c>
      <c r="C266" s="16">
        <v>0</v>
      </c>
      <c r="D266" s="171">
        <v>100</v>
      </c>
      <c r="E266" s="16"/>
      <c r="F266" s="167" t="s">
        <v>1520</v>
      </c>
      <c r="G266" s="16">
        <v>39</v>
      </c>
      <c r="H266" s="16">
        <v>0</v>
      </c>
      <c r="I266" s="16">
        <v>0</v>
      </c>
      <c r="J266" s="151"/>
      <c r="K266" s="151"/>
      <c r="L266" s="151"/>
      <c r="M266" s="151"/>
    </row>
    <row r="267" spans="1:13">
      <c r="A267" s="16" t="s">
        <v>1521</v>
      </c>
      <c r="B267" s="16">
        <v>884</v>
      </c>
      <c r="C267" s="16">
        <v>0</v>
      </c>
      <c r="D267" s="171">
        <v>100</v>
      </c>
      <c r="E267" s="16"/>
      <c r="F267" s="167" t="s">
        <v>1522</v>
      </c>
      <c r="G267" s="16">
        <v>149</v>
      </c>
      <c r="H267" s="16">
        <v>2</v>
      </c>
      <c r="I267" s="16">
        <v>6.7</v>
      </c>
      <c r="J267" s="151"/>
      <c r="K267" s="151"/>
      <c r="L267" s="151"/>
      <c r="M267" s="151"/>
    </row>
    <row r="268" spans="1:13">
      <c r="A268" s="16" t="s">
        <v>1523</v>
      </c>
      <c r="B268" s="16">
        <v>884</v>
      </c>
      <c r="C268" s="16">
        <v>0</v>
      </c>
      <c r="D268" s="171">
        <v>100</v>
      </c>
      <c r="E268" s="16"/>
      <c r="F268" s="167" t="s">
        <v>1524</v>
      </c>
      <c r="G268" s="16">
        <v>41</v>
      </c>
      <c r="H268" s="16">
        <v>1.2</v>
      </c>
      <c r="I268" s="16">
        <v>0.5</v>
      </c>
      <c r="J268" s="151"/>
      <c r="K268" s="151"/>
      <c r="L268" s="151"/>
      <c r="M268" s="151"/>
    </row>
    <row r="269" spans="1:13">
      <c r="A269" s="16" t="s">
        <v>1525</v>
      </c>
      <c r="B269" s="16">
        <v>884</v>
      </c>
      <c r="C269" s="16">
        <v>0</v>
      </c>
      <c r="D269" s="171">
        <v>100</v>
      </c>
      <c r="E269" s="16"/>
      <c r="F269" s="167"/>
      <c r="G269" s="16"/>
      <c r="H269" s="16"/>
      <c r="I269" s="16"/>
      <c r="J269" s="151"/>
      <c r="K269" s="151"/>
      <c r="L269" s="151"/>
      <c r="M269" s="151"/>
    </row>
    <row r="270" spans="1:13">
      <c r="A270" s="16" t="s">
        <v>1526</v>
      </c>
      <c r="B270" s="16">
        <v>884</v>
      </c>
      <c r="C270" s="16">
        <v>0</v>
      </c>
      <c r="D270" s="171">
        <v>100</v>
      </c>
      <c r="E270" s="16"/>
      <c r="F270" s="167"/>
      <c r="G270" s="16"/>
      <c r="H270" s="16"/>
      <c r="I270" s="16"/>
      <c r="J270" s="151"/>
      <c r="K270" s="151"/>
      <c r="L270" s="151"/>
      <c r="M270" s="151"/>
    </row>
    <row r="271" spans="1:13">
      <c r="A271" s="16" t="s">
        <v>1527</v>
      </c>
      <c r="B271" s="16">
        <v>884</v>
      </c>
      <c r="C271" s="16">
        <v>0</v>
      </c>
      <c r="D271" s="171">
        <v>100</v>
      </c>
      <c r="E271" s="16"/>
      <c r="F271" s="167"/>
      <c r="G271" s="16"/>
      <c r="H271" s="16"/>
      <c r="I271" s="16"/>
      <c r="J271" s="151"/>
      <c r="K271" s="151"/>
      <c r="L271" s="151"/>
      <c r="M271" s="151"/>
    </row>
    <row r="272" spans="1:13">
      <c r="A272" s="16" t="s">
        <v>1528</v>
      </c>
      <c r="B272" s="16">
        <v>720</v>
      </c>
      <c r="C272" s="16">
        <v>0.6</v>
      </c>
      <c r="D272" s="171">
        <v>81</v>
      </c>
      <c r="E272" s="16"/>
      <c r="F272" s="167"/>
      <c r="G272" s="16"/>
      <c r="H272" s="16"/>
      <c r="I272" s="16"/>
      <c r="J272" s="151"/>
      <c r="K272" s="151"/>
      <c r="L272" s="151"/>
      <c r="M272" s="151"/>
    </row>
    <row r="273" spans="1:13">
      <c r="A273" s="16" t="s">
        <v>1529</v>
      </c>
      <c r="B273" s="16">
        <v>902</v>
      </c>
      <c r="C273" s="16">
        <v>0</v>
      </c>
      <c r="D273" s="171">
        <v>100</v>
      </c>
      <c r="E273" s="16"/>
      <c r="F273" s="167"/>
      <c r="G273" s="16"/>
      <c r="H273" s="16"/>
      <c r="I273" s="16"/>
      <c r="J273" s="151"/>
      <c r="K273" s="151"/>
      <c r="L273" s="151"/>
      <c r="M273" s="151"/>
    </row>
    <row r="274" spans="1:13">
      <c r="A274" s="16" t="s">
        <v>1530</v>
      </c>
      <c r="B274" s="16">
        <v>720</v>
      </c>
      <c r="C274" s="16">
        <v>0.6</v>
      </c>
      <c r="D274" s="171">
        <v>81</v>
      </c>
      <c r="E274" s="16"/>
      <c r="F274" s="167"/>
      <c r="G274" s="16"/>
      <c r="H274" s="16"/>
      <c r="I274" s="16"/>
      <c r="J274" s="151"/>
      <c r="K274" s="151"/>
      <c r="L274" s="151"/>
      <c r="M274" s="151"/>
    </row>
    <row r="275" spans="1:13">
      <c r="A275" s="16"/>
      <c r="B275" s="155">
        <f>AVERAGE(B248:B274)</f>
        <v>866.11111111111109</v>
      </c>
      <c r="C275" s="155">
        <f t="shared" ref="C275:D275" si="7">AVERAGE(C248:C274)</f>
        <v>4.4444444444444446E-2</v>
      </c>
      <c r="D275" s="155">
        <f t="shared" si="7"/>
        <v>98.037037037037038</v>
      </c>
      <c r="E275" s="16"/>
      <c r="F275" s="167"/>
      <c r="G275" s="16"/>
      <c r="H275" s="16"/>
      <c r="I275" s="16"/>
      <c r="J275" s="151"/>
      <c r="K275" s="151"/>
      <c r="L275" s="151"/>
      <c r="M275" s="151"/>
    </row>
    <row r="276" spans="1:13">
      <c r="A276" s="68" t="s">
        <v>1531</v>
      </c>
      <c r="B276" s="16"/>
      <c r="C276" s="16"/>
      <c r="D276" s="171"/>
      <c r="E276" s="16"/>
      <c r="F276" s="167"/>
      <c r="G276" s="16"/>
      <c r="H276" s="16"/>
      <c r="I276" s="16"/>
      <c r="J276" s="151"/>
      <c r="K276" s="151"/>
      <c r="L276" s="151"/>
      <c r="M276" s="151"/>
    </row>
    <row r="277" spans="1:13">
      <c r="A277" s="16" t="s">
        <v>1532</v>
      </c>
      <c r="B277" s="16">
        <v>847</v>
      </c>
      <c r="C277" s="16">
        <v>2</v>
      </c>
      <c r="D277" s="171">
        <v>93</v>
      </c>
      <c r="E277" s="16"/>
      <c r="F277" s="167"/>
      <c r="G277" s="16"/>
      <c r="H277" s="16"/>
      <c r="I277" s="16"/>
      <c r="J277" s="151"/>
      <c r="K277" s="151"/>
      <c r="L277" s="151"/>
      <c r="M277" s="151"/>
    </row>
    <row r="278" spans="1:13">
      <c r="A278" s="16" t="s">
        <v>1533</v>
      </c>
      <c r="B278" s="16">
        <v>847</v>
      </c>
      <c r="C278" s="16">
        <v>2</v>
      </c>
      <c r="D278" s="171">
        <v>93</v>
      </c>
      <c r="E278" s="16"/>
      <c r="F278" s="167"/>
      <c r="G278" s="16"/>
      <c r="H278" s="16"/>
      <c r="I278" s="16"/>
      <c r="J278" s="151"/>
      <c r="K278" s="151"/>
      <c r="L278" s="151"/>
      <c r="M278" s="151"/>
    </row>
    <row r="279" spans="1:13">
      <c r="A279" s="16" t="s">
        <v>1534</v>
      </c>
      <c r="B279" s="16">
        <v>717</v>
      </c>
      <c r="C279" s="16">
        <v>0.9</v>
      </c>
      <c r="D279" s="171">
        <v>81.099999999999994</v>
      </c>
      <c r="E279" s="16"/>
      <c r="F279" s="167"/>
      <c r="G279" s="16"/>
      <c r="H279" s="16"/>
      <c r="I279" s="16"/>
      <c r="J279" s="151"/>
      <c r="K279" s="151"/>
      <c r="L279" s="151"/>
      <c r="M279" s="151"/>
    </row>
    <row r="280" spans="1:13">
      <c r="A280" s="16" t="s">
        <v>1535</v>
      </c>
      <c r="B280" s="16">
        <v>873</v>
      </c>
      <c r="C280" s="16">
        <v>0.3</v>
      </c>
      <c r="D280" s="171">
        <v>99.1</v>
      </c>
      <c r="E280" s="16"/>
      <c r="F280" s="167"/>
      <c r="G280" s="16"/>
      <c r="H280" s="16"/>
      <c r="I280" s="16"/>
      <c r="J280" s="151"/>
      <c r="K280" s="151"/>
      <c r="L280" s="151"/>
      <c r="M280" s="151"/>
    </row>
    <row r="281" spans="1:13">
      <c r="A281" s="16" t="s">
        <v>1536</v>
      </c>
      <c r="B281" s="16">
        <v>847</v>
      </c>
      <c r="C281" s="16">
        <v>2</v>
      </c>
      <c r="D281" s="171">
        <v>93</v>
      </c>
      <c r="E281" s="16"/>
      <c r="F281" s="167"/>
      <c r="G281" s="16"/>
      <c r="H281" s="16"/>
      <c r="I281" s="16"/>
      <c r="J281" s="151"/>
      <c r="K281" s="151"/>
      <c r="L281" s="151"/>
      <c r="M281" s="151"/>
    </row>
    <row r="282" spans="1:13">
      <c r="A282" s="16" t="s">
        <v>1537</v>
      </c>
      <c r="B282" s="16">
        <v>717</v>
      </c>
      <c r="C282" s="16">
        <v>0.9</v>
      </c>
      <c r="D282" s="171">
        <v>81.099999999999994</v>
      </c>
      <c r="E282" s="16"/>
      <c r="F282" s="167"/>
      <c r="G282" s="16"/>
      <c r="H282" s="16"/>
      <c r="I282" s="16"/>
      <c r="J282" s="151"/>
      <c r="K282" s="151"/>
      <c r="L282" s="151"/>
      <c r="M282" s="151"/>
    </row>
    <row r="283" spans="1:13">
      <c r="A283" s="16" t="s">
        <v>1538</v>
      </c>
      <c r="B283" s="16">
        <v>873</v>
      </c>
      <c r="C283" s="16">
        <v>0.3</v>
      </c>
      <c r="D283" s="171">
        <v>99.1</v>
      </c>
      <c r="E283" s="16"/>
      <c r="F283" s="167"/>
      <c r="G283" s="16"/>
      <c r="H283" s="16"/>
      <c r="I283" s="16"/>
      <c r="J283" s="151"/>
      <c r="K283" s="151"/>
      <c r="L283" s="151"/>
      <c r="M283" s="151"/>
    </row>
    <row r="284" spans="1:13">
      <c r="A284" s="16" t="s">
        <v>1539</v>
      </c>
      <c r="B284" s="16">
        <v>902</v>
      </c>
      <c r="C284" s="16">
        <v>0</v>
      </c>
      <c r="D284" s="171">
        <v>100</v>
      </c>
      <c r="E284" s="16"/>
      <c r="F284" s="167"/>
      <c r="G284" s="16"/>
      <c r="H284" s="16"/>
      <c r="I284" s="16"/>
      <c r="J284" s="151"/>
      <c r="K284" s="151"/>
      <c r="L284" s="151"/>
      <c r="M284" s="151"/>
    </row>
    <row r="285" spans="1:13">
      <c r="A285" s="16" t="s">
        <v>1540</v>
      </c>
      <c r="B285" s="16">
        <v>716</v>
      </c>
      <c r="C285" s="16">
        <v>0.6</v>
      </c>
      <c r="D285" s="171">
        <v>81</v>
      </c>
      <c r="E285" s="16"/>
      <c r="F285" s="168"/>
      <c r="G285" s="151"/>
      <c r="H285" s="151"/>
      <c r="I285" s="151"/>
      <c r="J285" s="151"/>
      <c r="K285" s="151"/>
      <c r="L285" s="151"/>
      <c r="M285" s="151"/>
    </row>
    <row r="286" spans="1:13">
      <c r="A286" s="151"/>
      <c r="B286" s="153">
        <f>AVERAGE(B277:B285)</f>
        <v>815.44444444444446</v>
      </c>
      <c r="C286" s="153">
        <f t="shared" ref="C286:D286" si="8">AVERAGE(C277:C285)</f>
        <v>1</v>
      </c>
      <c r="D286" s="172">
        <f t="shared" si="8"/>
        <v>91.155555555555566</v>
      </c>
      <c r="E286" s="151"/>
      <c r="F286" s="168"/>
      <c r="G286" s="151"/>
      <c r="H286" s="151"/>
      <c r="I286" s="151"/>
      <c r="J286" s="151"/>
      <c r="K286" s="151"/>
      <c r="L286" s="151"/>
      <c r="M286" s="151"/>
    </row>
    <row r="287" spans="1:13">
      <c r="A287" s="151"/>
      <c r="B287" s="151"/>
      <c r="C287" s="151"/>
      <c r="D287" s="151"/>
      <c r="E287" s="151"/>
      <c r="F287" s="151"/>
      <c r="G287" s="151"/>
      <c r="H287" s="151"/>
      <c r="I287" s="151"/>
      <c r="J287" s="151"/>
      <c r="K287" s="151"/>
      <c r="L287" s="151"/>
      <c r="M287" s="151"/>
    </row>
    <row r="288" spans="1:13">
      <c r="A288" s="16" t="s">
        <v>1541</v>
      </c>
      <c r="B288" s="151"/>
      <c r="C288" s="151"/>
      <c r="D288" s="151"/>
      <c r="E288" s="151"/>
      <c r="F288" s="151"/>
      <c r="G288" s="151"/>
      <c r="H288" s="151"/>
      <c r="I288" s="151"/>
      <c r="J288" s="151"/>
      <c r="K288" s="151"/>
      <c r="L288" s="151"/>
      <c r="M288" s="151"/>
    </row>
    <row r="289" spans="1:13">
      <c r="A289" s="177" t="s">
        <v>1542</v>
      </c>
      <c r="B289" s="151"/>
      <c r="C289" s="151"/>
      <c r="D289" s="151"/>
      <c r="E289" s="151"/>
      <c r="F289" s="151"/>
      <c r="G289" s="151"/>
      <c r="H289" s="151"/>
      <c r="I289" s="151"/>
      <c r="J289" s="151"/>
      <c r="K289" s="151"/>
      <c r="L289" s="151"/>
      <c r="M289" s="151"/>
    </row>
    <row r="290" spans="1:13">
      <c r="A290" s="151" t="s">
        <v>1543</v>
      </c>
      <c r="B290" s="151"/>
      <c r="C290" s="151"/>
      <c r="D290" s="151"/>
      <c r="E290" s="151"/>
      <c r="F290" s="151"/>
      <c r="G290" s="151"/>
      <c r="H290" s="151"/>
      <c r="I290" s="151"/>
      <c r="J290" s="151"/>
      <c r="K290" s="151"/>
      <c r="L290" s="151"/>
      <c r="M290" s="151"/>
    </row>
  </sheetData>
  <hyperlinks>
    <hyperlink ref="A289" r:id="rId1" location="P8217_125315"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A0AD2-294D-7444-99BF-31B38875A8F8}">
  <dimension ref="A1:BL320"/>
  <sheetViews>
    <sheetView topLeftCell="P31" zoomScale="118" zoomScaleNormal="118" workbookViewId="0">
      <selection activeCell="AD16" sqref="AD16"/>
    </sheetView>
  </sheetViews>
  <sheetFormatPr baseColWidth="10" defaultColWidth="24.33203125" defaultRowHeight="15"/>
  <cols>
    <col min="1" max="1" width="11" customWidth="1"/>
    <col min="5" max="5" width="12.6640625" customWidth="1"/>
  </cols>
  <sheetData>
    <row r="1" spans="1:42" ht="108.75" customHeight="1" thickTop="1" thickBot="1">
      <c r="A1" s="290">
        <v>1</v>
      </c>
      <c r="B1" s="291" t="s">
        <v>128</v>
      </c>
      <c r="C1" s="291" t="s">
        <v>129</v>
      </c>
      <c r="D1" s="291" t="s">
        <v>130</v>
      </c>
      <c r="E1" s="291" t="s">
        <v>131</v>
      </c>
      <c r="F1" s="291" t="s">
        <v>132</v>
      </c>
      <c r="G1" s="291" t="s">
        <v>133</v>
      </c>
      <c r="H1" s="291" t="s">
        <v>134</v>
      </c>
      <c r="I1" s="292" t="s">
        <v>135</v>
      </c>
      <c r="J1" s="293" t="s">
        <v>136</v>
      </c>
      <c r="K1" s="293" t="s">
        <v>137</v>
      </c>
      <c r="L1" s="294" t="s">
        <v>138</v>
      </c>
      <c r="M1" s="294" t="s">
        <v>139</v>
      </c>
      <c r="N1" s="295" t="s">
        <v>140</v>
      </c>
      <c r="O1" s="296" t="s">
        <v>141</v>
      </c>
      <c r="P1" s="291" t="s">
        <v>142</v>
      </c>
      <c r="Q1" s="291" t="s">
        <v>128</v>
      </c>
      <c r="R1" s="297" t="s">
        <v>143</v>
      </c>
      <c r="S1" s="297" t="s">
        <v>144</v>
      </c>
      <c r="T1" s="297" t="s">
        <v>145</v>
      </c>
      <c r="U1" s="297" t="s">
        <v>146</v>
      </c>
      <c r="V1" s="5"/>
      <c r="W1" s="6" t="s">
        <v>1004</v>
      </c>
      <c r="X1" s="7" t="s">
        <v>1566</v>
      </c>
      <c r="Y1" s="8" t="s">
        <v>1567</v>
      </c>
      <c r="Z1" s="8" t="s">
        <v>1568</v>
      </c>
      <c r="AA1" s="9" t="s">
        <v>1569</v>
      </c>
      <c r="AB1" s="5"/>
      <c r="AC1" s="10" t="s">
        <v>151</v>
      </c>
      <c r="AD1" s="7" t="s">
        <v>1566</v>
      </c>
      <c r="AE1" s="8" t="s">
        <v>1567</v>
      </c>
      <c r="AF1" s="8" t="s">
        <v>1568</v>
      </c>
      <c r="AG1" s="9" t="s">
        <v>1569</v>
      </c>
      <c r="AH1" s="12"/>
      <c r="AI1" s="10" t="s">
        <v>152</v>
      </c>
      <c r="AJ1" s="11" t="s">
        <v>147</v>
      </c>
      <c r="AK1" s="11" t="s">
        <v>148</v>
      </c>
      <c r="AL1" s="11" t="s">
        <v>149</v>
      </c>
      <c r="AM1" s="11" t="s">
        <v>150</v>
      </c>
      <c r="AN1" s="13"/>
      <c r="AO1" s="14" t="s">
        <v>153</v>
      </c>
      <c r="AP1" s="15" t="s">
        <v>154</v>
      </c>
    </row>
    <row r="2" spans="1:42" ht="16" thickTop="1">
      <c r="A2" s="288">
        <v>186</v>
      </c>
      <c r="B2" s="288" t="s">
        <v>155</v>
      </c>
      <c r="C2" s="289" t="s">
        <v>156</v>
      </c>
      <c r="D2" s="289" t="s">
        <v>157</v>
      </c>
      <c r="E2" s="288" t="s">
        <v>158</v>
      </c>
      <c r="F2" s="289" t="s">
        <v>159</v>
      </c>
      <c r="G2" s="288" t="s">
        <v>160</v>
      </c>
      <c r="H2" s="288"/>
      <c r="I2" s="298">
        <v>1.2534820143884892E-2</v>
      </c>
      <c r="J2" s="299">
        <v>0.10214805755395684</v>
      </c>
      <c r="K2" s="299">
        <v>4.4435784172661873E-4</v>
      </c>
      <c r="L2" s="300">
        <v>1881</v>
      </c>
      <c r="M2" s="299">
        <f>L2/1000</f>
        <v>1.881</v>
      </c>
      <c r="N2" s="299">
        <f>L2/1000</f>
        <v>1.881</v>
      </c>
      <c r="O2" s="301">
        <v>5.3926064954135577E-3</v>
      </c>
      <c r="P2" s="289" t="s">
        <v>161</v>
      </c>
      <c r="Q2" s="288" t="s">
        <v>155</v>
      </c>
      <c r="R2" s="302">
        <v>1.2534820143884892E-2</v>
      </c>
      <c r="S2" s="302">
        <v>0.10214805755395684</v>
      </c>
      <c r="T2" s="302">
        <v>2.7064748201438853</v>
      </c>
      <c r="U2" s="302">
        <v>5.3926064954135577E-3</v>
      </c>
      <c r="V2" s="17"/>
      <c r="W2" s="18"/>
      <c r="X2" s="19"/>
      <c r="Y2" s="20"/>
      <c r="Z2" s="20"/>
      <c r="AA2" s="21"/>
      <c r="AB2" s="22"/>
      <c r="AC2" s="23" t="s">
        <v>162</v>
      </c>
      <c r="AD2" s="24">
        <v>4.1260520898609113E-2</v>
      </c>
      <c r="AE2" s="25">
        <v>0.33634106152364507</v>
      </c>
      <c r="AF2" s="25">
        <v>2.7368773970638127</v>
      </c>
      <c r="AG2" s="26">
        <v>6.728823572910032E-3</v>
      </c>
      <c r="AH2" s="27"/>
      <c r="AI2" s="23" t="s">
        <v>162</v>
      </c>
      <c r="AJ2" s="28">
        <v>2</v>
      </c>
      <c r="AK2" s="28">
        <v>7</v>
      </c>
      <c r="AL2" s="28">
        <v>1</v>
      </c>
      <c r="AM2" s="29">
        <v>4</v>
      </c>
      <c r="AN2" s="30"/>
      <c r="AO2" s="31">
        <v>3.5</v>
      </c>
      <c r="AP2" s="31">
        <f t="shared" ref="AP2:AP22" si="0">AVERAGE(AJ2:AM2)</f>
        <v>3.5</v>
      </c>
    </row>
    <row r="3" spans="1:42">
      <c r="A3" s="290">
        <v>211</v>
      </c>
      <c r="B3" s="288" t="s">
        <v>163</v>
      </c>
      <c r="C3" s="288" t="s">
        <v>164</v>
      </c>
      <c r="D3" s="288" t="s">
        <v>165</v>
      </c>
      <c r="E3" s="288"/>
      <c r="F3" s="288"/>
      <c r="G3" s="303"/>
      <c r="H3" s="288"/>
      <c r="I3" s="304"/>
      <c r="J3" s="305"/>
      <c r="K3" s="305"/>
      <c r="L3" s="306"/>
      <c r="M3" s="305"/>
      <c r="N3" s="305"/>
      <c r="O3" s="307"/>
      <c r="P3" s="288" t="s">
        <v>166</v>
      </c>
      <c r="Q3" s="288" t="s">
        <v>167</v>
      </c>
      <c r="R3" s="302">
        <v>6.9986221653333333E-2</v>
      </c>
      <c r="S3" s="302">
        <v>0.5705340654933333</v>
      </c>
      <c r="T3" s="302">
        <v>2.7672799739837397</v>
      </c>
      <c r="U3" s="302">
        <v>8.0650406504065054E-3</v>
      </c>
      <c r="V3" s="17"/>
      <c r="W3" s="37" t="s">
        <v>162</v>
      </c>
      <c r="X3" s="19">
        <f t="shared" ref="X3:AA3" si="1">AVERAGE(R2:R3)</f>
        <v>4.1260520898609113E-2</v>
      </c>
      <c r="Y3" s="20">
        <f t="shared" si="1"/>
        <v>0.33634106152364507</v>
      </c>
      <c r="Z3" s="20">
        <f t="shared" si="1"/>
        <v>2.7368773970638127</v>
      </c>
      <c r="AA3" s="21">
        <f t="shared" si="1"/>
        <v>6.728823572910032E-3</v>
      </c>
      <c r="AB3" s="22"/>
      <c r="AC3" s="38" t="s">
        <v>168</v>
      </c>
      <c r="AD3" s="39">
        <v>0</v>
      </c>
      <c r="AE3" s="40">
        <v>0</v>
      </c>
      <c r="AF3" s="40">
        <v>0</v>
      </c>
      <c r="AG3" s="41">
        <v>0</v>
      </c>
      <c r="AH3" s="27"/>
      <c r="AI3" s="38" t="s">
        <v>168</v>
      </c>
      <c r="AJ3" s="42">
        <v>0</v>
      </c>
      <c r="AK3" s="42">
        <v>0</v>
      </c>
      <c r="AL3" s="42">
        <v>0</v>
      </c>
      <c r="AM3" s="43">
        <v>0</v>
      </c>
      <c r="AN3" s="30"/>
      <c r="AO3" s="30">
        <v>0</v>
      </c>
      <c r="AP3" s="30">
        <f t="shared" si="0"/>
        <v>0</v>
      </c>
    </row>
    <row r="4" spans="1:42">
      <c r="A4" s="288">
        <v>28</v>
      </c>
      <c r="B4" s="288" t="s">
        <v>13</v>
      </c>
      <c r="C4" s="289" t="s">
        <v>169</v>
      </c>
      <c r="D4" s="289" t="s">
        <v>169</v>
      </c>
      <c r="E4" s="288"/>
      <c r="F4" s="288"/>
      <c r="G4" s="288"/>
      <c r="H4" s="308">
        <v>43866</v>
      </c>
      <c r="I4" s="304">
        <v>0</v>
      </c>
      <c r="J4" s="305">
        <v>0</v>
      </c>
      <c r="K4" s="305">
        <v>0</v>
      </c>
      <c r="L4" s="306">
        <v>0</v>
      </c>
      <c r="M4" s="305">
        <f>L4/1000</f>
        <v>0</v>
      </c>
      <c r="N4" s="305">
        <f>L4/1000</f>
        <v>0</v>
      </c>
      <c r="O4" s="307">
        <v>0</v>
      </c>
      <c r="P4" s="289" t="s">
        <v>170</v>
      </c>
      <c r="Q4" s="288" t="s">
        <v>13</v>
      </c>
      <c r="R4" s="302">
        <v>0</v>
      </c>
      <c r="S4" s="302">
        <v>0</v>
      </c>
      <c r="T4" s="302">
        <v>0</v>
      </c>
      <c r="U4" s="302">
        <v>0</v>
      </c>
      <c r="V4" s="17"/>
      <c r="W4" s="38" t="s">
        <v>168</v>
      </c>
      <c r="X4" s="19">
        <f t="shared" ref="X4:AA4" si="2">R4</f>
        <v>0</v>
      </c>
      <c r="Y4" s="20">
        <f t="shared" si="2"/>
        <v>0</v>
      </c>
      <c r="Z4" s="20">
        <f t="shared" si="2"/>
        <v>0</v>
      </c>
      <c r="AA4" s="21">
        <f t="shared" si="2"/>
        <v>0</v>
      </c>
      <c r="AB4" s="22"/>
      <c r="AC4" s="38" t="s">
        <v>171</v>
      </c>
      <c r="AD4" s="39">
        <v>4.5942474234322468E-3</v>
      </c>
      <c r="AE4" s="40">
        <v>3.1809739222168738E-2</v>
      </c>
      <c r="AF4" s="40">
        <v>2.2741864769619156</v>
      </c>
      <c r="AG4" s="41">
        <v>9.5489866479417655E-4</v>
      </c>
      <c r="AH4" s="27"/>
      <c r="AI4" s="38" t="s">
        <v>171</v>
      </c>
      <c r="AJ4" s="42">
        <v>1</v>
      </c>
      <c r="AK4" s="42">
        <v>1</v>
      </c>
      <c r="AL4" s="42">
        <v>1</v>
      </c>
      <c r="AM4" s="43">
        <v>1</v>
      </c>
      <c r="AN4" s="30"/>
      <c r="AO4" s="30">
        <v>1</v>
      </c>
      <c r="AP4" s="30">
        <f t="shared" si="0"/>
        <v>1</v>
      </c>
    </row>
    <row r="5" spans="1:42">
      <c r="A5" s="288">
        <v>3</v>
      </c>
      <c r="B5" s="288" t="s">
        <v>172</v>
      </c>
      <c r="C5" s="288" t="s">
        <v>169</v>
      </c>
      <c r="D5" s="288" t="s">
        <v>173</v>
      </c>
      <c r="E5" s="288" t="s">
        <v>174</v>
      </c>
      <c r="F5" s="288" t="s">
        <v>175</v>
      </c>
      <c r="G5" s="288" t="s">
        <v>176</v>
      </c>
      <c r="H5" s="288"/>
      <c r="I5" s="304">
        <v>2.0863187909805599E-3</v>
      </c>
      <c r="J5" s="305">
        <v>1.5149371069182389E-2</v>
      </c>
      <c r="K5" s="305">
        <v>3.0135276985835671E-4</v>
      </c>
      <c r="L5" s="306" t="s">
        <v>177</v>
      </c>
      <c r="M5" s="306" t="s">
        <v>177</v>
      </c>
      <c r="N5" s="305">
        <v>9.8819704433497538E-2</v>
      </c>
      <c r="O5" s="307">
        <v>3.5347185290550941E-4</v>
      </c>
      <c r="P5" s="288" t="s">
        <v>178</v>
      </c>
      <c r="Q5" s="288" t="s">
        <v>172</v>
      </c>
      <c r="R5" s="302">
        <v>2.0863187909805599E-3</v>
      </c>
      <c r="S5" s="302">
        <v>1.5149371069182389E-2</v>
      </c>
      <c r="T5" s="302">
        <v>9.8819704433497538E-2</v>
      </c>
      <c r="U5" s="302">
        <v>3.5347185290550941E-4</v>
      </c>
      <c r="V5" s="17"/>
      <c r="W5" s="18"/>
      <c r="X5" s="19"/>
      <c r="Y5" s="20"/>
      <c r="Z5" s="20"/>
      <c r="AA5" s="21"/>
      <c r="AB5" s="22"/>
      <c r="AC5" s="47" t="s">
        <v>179</v>
      </c>
      <c r="AD5" s="39">
        <v>3.2377197119273417E-3</v>
      </c>
      <c r="AE5" s="40">
        <v>5.1720096865054556E-2</v>
      </c>
      <c r="AF5" s="40">
        <v>4.2841409488662014</v>
      </c>
      <c r="AG5" s="41">
        <v>1.4811555945130972E-3</v>
      </c>
      <c r="AH5" s="27"/>
      <c r="AI5" s="47" t="s">
        <v>179</v>
      </c>
      <c r="AJ5" s="42">
        <v>1</v>
      </c>
      <c r="AK5" s="42">
        <v>2</v>
      </c>
      <c r="AL5" s="42">
        <v>1</v>
      </c>
      <c r="AM5" s="43">
        <v>1</v>
      </c>
      <c r="AN5" s="30"/>
      <c r="AO5" s="30">
        <v>1.25</v>
      </c>
      <c r="AP5" s="30">
        <f t="shared" si="0"/>
        <v>1.25</v>
      </c>
    </row>
    <row r="6" spans="1:42">
      <c r="A6" s="288">
        <v>4</v>
      </c>
      <c r="B6" s="288" t="s">
        <v>175</v>
      </c>
      <c r="C6" s="288" t="s">
        <v>169</v>
      </c>
      <c r="D6" s="288" t="s">
        <v>173</v>
      </c>
      <c r="E6" s="288" t="s">
        <v>174</v>
      </c>
      <c r="F6" s="288" t="s">
        <v>175</v>
      </c>
      <c r="G6" s="288" t="s">
        <v>180</v>
      </c>
      <c r="H6" s="288"/>
      <c r="I6" s="304">
        <v>1.40705220787061E-3</v>
      </c>
      <c r="J6" s="305">
        <v>1.0217017697820682E-2</v>
      </c>
      <c r="K6" s="305">
        <v>2.0323791455563594E-4</v>
      </c>
      <c r="L6" s="309" t="s">
        <v>177</v>
      </c>
      <c r="M6" s="306" t="s">
        <v>177</v>
      </c>
      <c r="N6" s="306">
        <v>6.6645847176079742E-2</v>
      </c>
      <c r="O6" s="307">
        <v>2.383879938199947E-4</v>
      </c>
      <c r="P6" s="288" t="s">
        <v>181</v>
      </c>
      <c r="Q6" s="288" t="s">
        <v>175</v>
      </c>
      <c r="R6" s="302">
        <v>1.40705220787061E-3</v>
      </c>
      <c r="S6" s="302">
        <v>1.0217017697820682E-2</v>
      </c>
      <c r="T6" s="302">
        <v>6.6645847176079742E-2</v>
      </c>
      <c r="U6" s="302">
        <v>2.383879938199947E-4</v>
      </c>
      <c r="V6" s="17"/>
      <c r="W6" s="18"/>
      <c r="X6" s="19"/>
      <c r="Y6" s="20"/>
      <c r="Z6" s="20"/>
      <c r="AA6" s="21"/>
      <c r="AB6" s="22"/>
      <c r="AC6" s="47" t="s">
        <v>182</v>
      </c>
      <c r="AD6" s="40">
        <v>2.704474508755159E-4</v>
      </c>
      <c r="AE6" s="40">
        <v>1.4529733660038721E-2</v>
      </c>
      <c r="AF6" s="40">
        <v>3.0199180700000001E-2</v>
      </c>
      <c r="AG6" s="41">
        <v>7.0996199547064063E-5</v>
      </c>
      <c r="AH6" s="27"/>
      <c r="AI6" s="47" t="s">
        <v>182</v>
      </c>
      <c r="AJ6" s="42">
        <v>1</v>
      </c>
      <c r="AK6" s="42">
        <v>1</v>
      </c>
      <c r="AL6" s="42">
        <v>1</v>
      </c>
      <c r="AM6" s="43">
        <v>1</v>
      </c>
      <c r="AN6" s="30"/>
      <c r="AO6" s="30">
        <v>1</v>
      </c>
      <c r="AP6" s="30">
        <f t="shared" si="0"/>
        <v>1</v>
      </c>
    </row>
    <row r="7" spans="1:42">
      <c r="A7" s="288">
        <v>14</v>
      </c>
      <c r="B7" s="288" t="s">
        <v>183</v>
      </c>
      <c r="C7" s="288" t="s">
        <v>169</v>
      </c>
      <c r="D7" s="288" t="s">
        <v>173</v>
      </c>
      <c r="E7" s="288"/>
      <c r="F7" s="288"/>
      <c r="G7" s="288" t="s">
        <v>184</v>
      </c>
      <c r="H7" s="288"/>
      <c r="I7" s="304">
        <v>1.6135489016096731E-2</v>
      </c>
      <c r="J7" s="305">
        <v>0.11716450599224061</v>
      </c>
      <c r="K7" s="305">
        <v>2.3306478040234853E-3</v>
      </c>
      <c r="L7" s="306" t="s">
        <v>177</v>
      </c>
      <c r="M7" s="306" t="s">
        <v>177</v>
      </c>
      <c r="N7" s="305">
        <v>0.7642668332</v>
      </c>
      <c r="O7" s="307">
        <v>2.7337342810278844E-3</v>
      </c>
      <c r="P7" s="288" t="s">
        <v>185</v>
      </c>
      <c r="Q7" s="288" t="s">
        <v>183</v>
      </c>
      <c r="R7" s="302">
        <v>1.6135489016096731E-2</v>
      </c>
      <c r="S7" s="302">
        <v>0.11716450599224061</v>
      </c>
      <c r="T7" s="302">
        <v>0.7642668332</v>
      </c>
      <c r="U7" s="302">
        <v>2.7337342810278844E-3</v>
      </c>
      <c r="V7" s="17"/>
      <c r="W7" s="18"/>
      <c r="X7" s="19"/>
      <c r="Y7" s="20"/>
      <c r="Z7" s="20"/>
      <c r="AA7" s="21"/>
      <c r="AB7" s="22"/>
      <c r="AC7" s="47" t="s">
        <v>186</v>
      </c>
      <c r="AD7" s="40">
        <v>6.6853744887401725E-4</v>
      </c>
      <c r="AE7" s="40">
        <v>1.2373341551883209E-2</v>
      </c>
      <c r="AF7" s="40">
        <v>5.2773571428571433</v>
      </c>
      <c r="AG7" s="41">
        <v>2.2573193610824117E-4</v>
      </c>
      <c r="AH7" s="27"/>
      <c r="AI7" s="47" t="s">
        <v>186</v>
      </c>
      <c r="AJ7" s="42">
        <v>1</v>
      </c>
      <c r="AK7" s="42">
        <v>1</v>
      </c>
      <c r="AL7" s="42">
        <v>2</v>
      </c>
      <c r="AM7" s="43">
        <v>1</v>
      </c>
      <c r="AN7" s="30"/>
      <c r="AO7" s="30">
        <v>1.25</v>
      </c>
      <c r="AP7" s="30">
        <f t="shared" si="0"/>
        <v>1.25</v>
      </c>
    </row>
    <row r="8" spans="1:42">
      <c r="A8" s="290">
        <v>29</v>
      </c>
      <c r="B8" s="288" t="s">
        <v>187</v>
      </c>
      <c r="C8" s="288" t="s">
        <v>169</v>
      </c>
      <c r="D8" s="288" t="s">
        <v>173</v>
      </c>
      <c r="E8" s="288" t="s">
        <v>188</v>
      </c>
      <c r="F8" s="288" t="s">
        <v>189</v>
      </c>
      <c r="G8" s="288" t="s">
        <v>190</v>
      </c>
      <c r="H8" s="288"/>
      <c r="I8" s="304">
        <v>1.5676635966133333E-3</v>
      </c>
      <c r="J8" s="305">
        <v>7.7472873595999994E-3</v>
      </c>
      <c r="K8" s="305">
        <v>1.4584397163120569E-4</v>
      </c>
      <c r="L8" s="306">
        <v>4731</v>
      </c>
      <c r="M8" s="305">
        <f t="shared" ref="M8:M16" si="3">L8/1000</f>
        <v>4.7309999999999999</v>
      </c>
      <c r="N8" s="305">
        <v>4.8971999999999998</v>
      </c>
      <c r="O8" s="307">
        <v>7.7344115366430246E-4</v>
      </c>
      <c r="P8" s="288" t="s">
        <v>191</v>
      </c>
      <c r="Q8" s="288" t="s">
        <v>187</v>
      </c>
      <c r="R8" s="302">
        <v>1.5676635966133333E-3</v>
      </c>
      <c r="S8" s="302">
        <v>7.7472873595999994E-3</v>
      </c>
      <c r="T8" s="302">
        <v>4.8971999999999998</v>
      </c>
      <c r="U8" s="302">
        <v>7.7344115366430246E-4</v>
      </c>
      <c r="V8" s="17"/>
      <c r="W8" s="18"/>
      <c r="X8" s="19"/>
      <c r="Y8" s="20"/>
      <c r="Z8" s="20"/>
      <c r="AA8" s="21"/>
      <c r="AB8" s="22"/>
      <c r="AC8" s="47" t="s">
        <v>192</v>
      </c>
      <c r="AD8" s="40">
        <v>2.0793191137648513E-2</v>
      </c>
      <c r="AE8" s="40">
        <v>6.1135713524352396E-2</v>
      </c>
      <c r="AF8" s="40">
        <v>8.6341785333333316</v>
      </c>
      <c r="AG8" s="41">
        <v>3.8352346564954876E-3</v>
      </c>
      <c r="AH8" s="27"/>
      <c r="AI8" s="47" t="s">
        <v>192</v>
      </c>
      <c r="AJ8" s="42">
        <v>1</v>
      </c>
      <c r="AK8" s="42">
        <v>2</v>
      </c>
      <c r="AL8" s="42">
        <v>2</v>
      </c>
      <c r="AM8" s="43">
        <v>2</v>
      </c>
      <c r="AN8" s="30"/>
      <c r="AO8" s="30">
        <v>1.75</v>
      </c>
      <c r="AP8" s="30">
        <f t="shared" si="0"/>
        <v>1.75</v>
      </c>
    </row>
    <row r="9" spans="1:42">
      <c r="A9" s="288">
        <v>30</v>
      </c>
      <c r="B9" s="288" t="s">
        <v>193</v>
      </c>
      <c r="C9" s="288" t="s">
        <v>169</v>
      </c>
      <c r="D9" s="288" t="s">
        <v>173</v>
      </c>
      <c r="E9" s="288" t="s">
        <v>188</v>
      </c>
      <c r="F9" s="288" t="s">
        <v>189</v>
      </c>
      <c r="G9" s="288" t="s">
        <v>190</v>
      </c>
      <c r="H9" s="288"/>
      <c r="I9" s="304">
        <v>1.7747135055999998E-3</v>
      </c>
      <c r="J9" s="305">
        <v>8.7705139919999984E-3</v>
      </c>
      <c r="K9" s="305">
        <v>1.651063829787234E-4</v>
      </c>
      <c r="L9" s="306">
        <v>4731</v>
      </c>
      <c r="M9" s="305">
        <f t="shared" si="3"/>
        <v>4.7309999999999999</v>
      </c>
      <c r="N9" s="305">
        <v>5.5439999999999996</v>
      </c>
      <c r="O9" s="307">
        <v>6.7545804255319153E-4</v>
      </c>
      <c r="P9" s="288" t="s">
        <v>194</v>
      </c>
      <c r="Q9" s="288" t="s">
        <v>193</v>
      </c>
      <c r="R9" s="302">
        <v>1.7747135055999998E-3</v>
      </c>
      <c r="S9" s="302">
        <v>8.7705139919999984E-3</v>
      </c>
      <c r="T9" s="302">
        <v>5.5439999999999996</v>
      </c>
      <c r="U9" s="302">
        <v>6.7545804255319153E-4</v>
      </c>
      <c r="V9" s="17"/>
      <c r="W9" s="38" t="s">
        <v>171</v>
      </c>
      <c r="X9" s="19">
        <f t="shared" ref="X9:AA9" si="4">AVERAGE(R5:R9)</f>
        <v>4.5942474234322468E-3</v>
      </c>
      <c r="Y9" s="20">
        <f t="shared" si="4"/>
        <v>3.1809739222168738E-2</v>
      </c>
      <c r="Z9" s="20">
        <f t="shared" si="4"/>
        <v>2.2741864769619156</v>
      </c>
      <c r="AA9" s="21">
        <f t="shared" si="4"/>
        <v>9.5489866479417655E-4</v>
      </c>
      <c r="AB9" s="22"/>
      <c r="AC9" s="47" t="s">
        <v>195</v>
      </c>
      <c r="AD9" s="40">
        <v>4.0165275294130297E-3</v>
      </c>
      <c r="AE9" s="40">
        <v>3.2725331200335404E-2</v>
      </c>
      <c r="AF9" s="40">
        <v>1.0329999999999999</v>
      </c>
      <c r="AG9" s="41">
        <v>2.0392735E-3</v>
      </c>
      <c r="AH9" s="27"/>
      <c r="AI9" s="47" t="s">
        <v>195</v>
      </c>
      <c r="AJ9" s="42">
        <v>1</v>
      </c>
      <c r="AK9" s="42">
        <v>1</v>
      </c>
      <c r="AL9" s="42">
        <v>1</v>
      </c>
      <c r="AM9" s="43">
        <v>2</v>
      </c>
      <c r="AN9" s="30"/>
      <c r="AO9" s="30">
        <v>1.25</v>
      </c>
      <c r="AP9" s="30">
        <f t="shared" si="0"/>
        <v>1.25</v>
      </c>
    </row>
    <row r="10" spans="1:42">
      <c r="A10" s="290">
        <v>5</v>
      </c>
      <c r="B10" s="289" t="s">
        <v>196</v>
      </c>
      <c r="C10" s="289" t="s">
        <v>169</v>
      </c>
      <c r="D10" s="310" t="s">
        <v>197</v>
      </c>
      <c r="E10" s="288" t="s">
        <v>198</v>
      </c>
      <c r="F10" s="289" t="s">
        <v>199</v>
      </c>
      <c r="G10" s="288" t="s">
        <v>200</v>
      </c>
      <c r="H10" s="288"/>
      <c r="I10" s="304">
        <v>8.2470000000000004E-4</v>
      </c>
      <c r="J10" s="305">
        <v>1.5159165E-2</v>
      </c>
      <c r="K10" s="305">
        <v>5.1219512195121953E-5</v>
      </c>
      <c r="L10" s="306">
        <v>1327</v>
      </c>
      <c r="M10" s="305">
        <f t="shared" si="3"/>
        <v>1.327</v>
      </c>
      <c r="N10" s="306">
        <v>1.9904999999999999</v>
      </c>
      <c r="O10" s="307">
        <v>2.0164207317073177E-4</v>
      </c>
      <c r="P10" s="289" t="s">
        <v>201</v>
      </c>
      <c r="Q10" s="289" t="s">
        <v>196</v>
      </c>
      <c r="R10" s="302">
        <v>8.2470000000000004E-4</v>
      </c>
      <c r="S10" s="302">
        <v>1.5159165E-2</v>
      </c>
      <c r="T10" s="302">
        <v>1.9904999999999999</v>
      </c>
      <c r="U10" s="302">
        <v>2.0164207317073177E-4</v>
      </c>
      <c r="V10" s="48"/>
      <c r="W10" s="18"/>
      <c r="X10" s="19"/>
      <c r="Y10" s="20"/>
      <c r="Z10" s="20"/>
      <c r="AA10" s="21"/>
      <c r="AB10" s="22"/>
      <c r="AC10" s="47" t="s">
        <v>202</v>
      </c>
      <c r="AD10" s="40">
        <v>2.2558557267331027E-3</v>
      </c>
      <c r="AE10" s="40">
        <v>9.6747447486424286E-5</v>
      </c>
      <c r="AF10" s="40">
        <v>0.48611711779782524</v>
      </c>
      <c r="AG10" s="41">
        <v>9.2764997773282266E-3</v>
      </c>
      <c r="AH10" s="27"/>
      <c r="AI10" s="47" t="s">
        <v>202</v>
      </c>
      <c r="AJ10" s="42">
        <v>1</v>
      </c>
      <c r="AK10" s="42">
        <v>1</v>
      </c>
      <c r="AL10" s="42">
        <v>1</v>
      </c>
      <c r="AM10" s="43">
        <v>5</v>
      </c>
      <c r="AN10" s="30"/>
      <c r="AO10" s="30">
        <v>2</v>
      </c>
      <c r="AP10" s="30">
        <f t="shared" si="0"/>
        <v>2</v>
      </c>
    </row>
    <row r="11" spans="1:42">
      <c r="A11" s="288">
        <v>27</v>
      </c>
      <c r="B11" s="288" t="s">
        <v>203</v>
      </c>
      <c r="C11" s="288" t="s">
        <v>169</v>
      </c>
      <c r="D11" s="289" t="s">
        <v>197</v>
      </c>
      <c r="E11" s="288" t="s">
        <v>174</v>
      </c>
      <c r="F11" s="288" t="s">
        <v>174</v>
      </c>
      <c r="G11" s="288" t="s">
        <v>204</v>
      </c>
      <c r="H11" s="288"/>
      <c r="I11" s="304">
        <v>7.1317551258113035E-4</v>
      </c>
      <c r="J11" s="305">
        <v>1.4658570748517077E-2</v>
      </c>
      <c r="K11" s="305">
        <v>9.34931506849315E-5</v>
      </c>
      <c r="L11" s="306">
        <v>585</v>
      </c>
      <c r="M11" s="305">
        <f t="shared" si="3"/>
        <v>0.58499999999999996</v>
      </c>
      <c r="N11" s="305">
        <v>0.62477168949999995</v>
      </c>
      <c r="O11" s="307">
        <v>3.5988659817351594E-4</v>
      </c>
      <c r="P11" s="288" t="s">
        <v>205</v>
      </c>
      <c r="Q11" s="288" t="s">
        <v>203</v>
      </c>
      <c r="R11" s="302">
        <v>7.1317551258113035E-4</v>
      </c>
      <c r="S11" s="302">
        <v>1.4658570748517077E-2</v>
      </c>
      <c r="T11" s="302">
        <v>0.62477168949999995</v>
      </c>
      <c r="U11" s="302">
        <v>3.5988659817351594E-4</v>
      </c>
      <c r="V11" s="17"/>
      <c r="W11" s="18"/>
      <c r="X11" s="19"/>
      <c r="Y11" s="20"/>
      <c r="Z11" s="20"/>
      <c r="AA11" s="21"/>
      <c r="AB11" s="22"/>
      <c r="AC11" s="47" t="s">
        <v>206</v>
      </c>
      <c r="AD11" s="40">
        <v>2.3035091986275125E-3</v>
      </c>
      <c r="AE11" s="40">
        <v>2.6136647324626439E-2</v>
      </c>
      <c r="AF11" s="40">
        <v>2.6729545454545462</v>
      </c>
      <c r="AG11" s="41">
        <v>6.3848489820413751E-4</v>
      </c>
      <c r="AH11" s="27"/>
      <c r="AI11" s="47" t="s">
        <v>206</v>
      </c>
      <c r="AJ11" s="42">
        <v>1</v>
      </c>
      <c r="AK11" s="42">
        <v>1</v>
      </c>
      <c r="AL11" s="42">
        <v>1</v>
      </c>
      <c r="AM11" s="43">
        <v>1</v>
      </c>
      <c r="AN11" s="30"/>
      <c r="AO11" s="30">
        <v>1</v>
      </c>
      <c r="AP11" s="30">
        <f t="shared" si="0"/>
        <v>1</v>
      </c>
    </row>
    <row r="12" spans="1:42">
      <c r="A12" s="288">
        <v>2</v>
      </c>
      <c r="B12" s="288" t="s">
        <v>207</v>
      </c>
      <c r="C12" s="289" t="s">
        <v>169</v>
      </c>
      <c r="D12" s="289" t="s">
        <v>1616</v>
      </c>
      <c r="E12" s="288" t="s">
        <v>188</v>
      </c>
      <c r="F12" s="288" t="s">
        <v>207</v>
      </c>
      <c r="G12" s="311" t="s">
        <v>1617</v>
      </c>
      <c r="H12" s="288"/>
      <c r="I12" s="304">
        <v>7.4013793103448278E-4</v>
      </c>
      <c r="J12" s="305">
        <v>3.9903448275862069E-3</v>
      </c>
      <c r="K12" s="305">
        <v>2.4137931034482759E-4</v>
      </c>
      <c r="L12" s="306">
        <v>803</v>
      </c>
      <c r="M12" s="305">
        <f t="shared" si="3"/>
        <v>0.80300000000000005</v>
      </c>
      <c r="N12" s="305">
        <v>0.81931034479999998</v>
      </c>
      <c r="O12" s="307">
        <v>3.6010127048275863E-4</v>
      </c>
      <c r="P12" s="289" t="s">
        <v>208</v>
      </c>
      <c r="Q12" s="288" t="s">
        <v>207</v>
      </c>
      <c r="R12" s="302">
        <v>7.4013793103448278E-4</v>
      </c>
      <c r="S12" s="302">
        <v>3.9903448275862069E-3</v>
      </c>
      <c r="T12" s="302">
        <v>0.81931034479999998</v>
      </c>
      <c r="U12" s="302">
        <v>3.6010127048275863E-4</v>
      </c>
      <c r="V12" s="48"/>
      <c r="W12" s="18"/>
      <c r="X12" s="19"/>
      <c r="Y12" s="20"/>
      <c r="Z12" s="20"/>
      <c r="AA12" s="21"/>
      <c r="AB12" s="22"/>
      <c r="AC12" s="49" t="s">
        <v>209</v>
      </c>
      <c r="AD12" s="50">
        <v>7.8441205398506013E-3</v>
      </c>
      <c r="AE12" s="50">
        <v>0.14199296980671111</v>
      </c>
      <c r="AF12" s="50">
        <v>1.662289379590516</v>
      </c>
      <c r="AG12" s="51">
        <v>1.1137228065168051E-3</v>
      </c>
      <c r="AH12" s="27"/>
      <c r="AI12" s="49" t="s">
        <v>209</v>
      </c>
      <c r="AJ12" s="42">
        <v>1</v>
      </c>
      <c r="AK12" s="42">
        <v>3</v>
      </c>
      <c r="AL12" s="42">
        <v>1</v>
      </c>
      <c r="AM12" s="43">
        <v>1</v>
      </c>
      <c r="AN12" s="30"/>
      <c r="AO12" s="30">
        <v>1.5</v>
      </c>
      <c r="AP12" s="30">
        <f t="shared" si="0"/>
        <v>1.5</v>
      </c>
    </row>
    <row r="13" spans="1:42">
      <c r="A13" s="290">
        <v>9</v>
      </c>
      <c r="B13" s="289" t="s">
        <v>210</v>
      </c>
      <c r="C13" s="289" t="s">
        <v>169</v>
      </c>
      <c r="D13" s="289" t="s">
        <v>1616</v>
      </c>
      <c r="E13" s="288" t="s">
        <v>188</v>
      </c>
      <c r="F13" s="289" t="s">
        <v>211</v>
      </c>
      <c r="G13" s="288" t="s">
        <v>200</v>
      </c>
      <c r="H13" s="288"/>
      <c r="I13" s="304">
        <v>3.8146972123113249E-3</v>
      </c>
      <c r="J13" s="305">
        <v>1.710282858599476E-2</v>
      </c>
      <c r="K13" s="305">
        <v>5.0222393723691188E-4</v>
      </c>
      <c r="L13" s="306">
        <v>159</v>
      </c>
      <c r="M13" s="305">
        <f t="shared" si="3"/>
        <v>0.159</v>
      </c>
      <c r="N13" s="305">
        <v>0.58127770509999999</v>
      </c>
      <c r="O13" s="307">
        <v>6.5940142870550104E-3</v>
      </c>
      <c r="P13" s="289" t="s">
        <v>212</v>
      </c>
      <c r="Q13" s="289" t="s">
        <v>210</v>
      </c>
      <c r="R13" s="302">
        <v>3.8146972123113249E-3</v>
      </c>
      <c r="S13" s="302">
        <v>1.710282858599476E-2</v>
      </c>
      <c r="T13" s="302">
        <v>0.58127770509999999</v>
      </c>
      <c r="U13" s="302">
        <v>6.5940142870550104E-3</v>
      </c>
      <c r="V13" s="17"/>
      <c r="W13" s="18"/>
      <c r="X13" s="19"/>
      <c r="Y13" s="20"/>
      <c r="Z13" s="20"/>
      <c r="AA13" s="21"/>
      <c r="AB13" s="22"/>
      <c r="AC13" s="49" t="s">
        <v>213</v>
      </c>
      <c r="AD13" s="50">
        <v>5.8084261265269332E-3</v>
      </c>
      <c r="AE13" s="50">
        <v>9.5654114034282797E-2</v>
      </c>
      <c r="AF13" s="50">
        <v>0.92625252594771978</v>
      </c>
      <c r="AG13" s="51">
        <v>4.405635598064823E-4</v>
      </c>
      <c r="AH13" s="27"/>
      <c r="AI13" s="49" t="s">
        <v>213</v>
      </c>
      <c r="AJ13" s="42">
        <v>1</v>
      </c>
      <c r="AK13" s="42">
        <v>2</v>
      </c>
      <c r="AL13" s="42">
        <v>1</v>
      </c>
      <c r="AM13" s="43">
        <v>1</v>
      </c>
      <c r="AN13" s="30"/>
      <c r="AO13" s="30">
        <v>1.25</v>
      </c>
      <c r="AP13" s="30">
        <f t="shared" si="0"/>
        <v>1.25</v>
      </c>
    </row>
    <row r="14" spans="1:42">
      <c r="A14" s="288">
        <v>10</v>
      </c>
      <c r="B14" s="289" t="s">
        <v>214</v>
      </c>
      <c r="C14" s="289" t="s">
        <v>169</v>
      </c>
      <c r="D14" s="289" t="s">
        <v>1616</v>
      </c>
      <c r="E14" s="288" t="s">
        <v>188</v>
      </c>
      <c r="F14" s="289" t="s">
        <v>215</v>
      </c>
      <c r="G14" s="288" t="s">
        <v>200</v>
      </c>
      <c r="H14" s="288"/>
      <c r="I14" s="304">
        <v>1.2649297968236144E-3</v>
      </c>
      <c r="J14" s="305">
        <v>6.2511974168971618E-3</v>
      </c>
      <c r="K14" s="305">
        <v>1.1767982990863112E-4</v>
      </c>
      <c r="L14" s="306">
        <v>4331</v>
      </c>
      <c r="M14" s="305">
        <f t="shared" si="3"/>
        <v>4.3310000000000004</v>
      </c>
      <c r="N14" s="305">
        <v>3.9514945772721894</v>
      </c>
      <c r="O14" s="307">
        <v>4.4131428444507676E-4</v>
      </c>
      <c r="P14" s="289" t="s">
        <v>216</v>
      </c>
      <c r="Q14" s="289" t="s">
        <v>214</v>
      </c>
      <c r="R14" s="302">
        <v>1.2649297968236144E-3</v>
      </c>
      <c r="S14" s="302">
        <v>6.2511974168971618E-3</v>
      </c>
      <c r="T14" s="302">
        <v>3.9514945772721894</v>
      </c>
      <c r="U14" s="302">
        <v>4.4131428444507676E-4</v>
      </c>
      <c r="V14" s="17"/>
      <c r="W14" s="18"/>
      <c r="X14" s="19"/>
      <c r="Y14" s="20"/>
      <c r="Z14" s="20"/>
      <c r="AA14" s="21"/>
      <c r="AB14" s="22"/>
      <c r="AC14" s="47" t="s">
        <v>217</v>
      </c>
      <c r="AD14" s="40">
        <v>5.4444049857663252E-3</v>
      </c>
      <c r="AE14" s="40">
        <v>3.6540475505848449E-2</v>
      </c>
      <c r="AF14" s="40">
        <v>1.0084881959108698</v>
      </c>
      <c r="AG14" s="41">
        <v>6.2807097374408514E-4</v>
      </c>
      <c r="AH14" s="27"/>
      <c r="AI14" s="47" t="s">
        <v>217</v>
      </c>
      <c r="AJ14" s="42">
        <v>1</v>
      </c>
      <c r="AK14" s="42">
        <v>1</v>
      </c>
      <c r="AL14" s="42">
        <v>1</v>
      </c>
      <c r="AM14" s="43">
        <v>1</v>
      </c>
      <c r="AN14" s="30"/>
      <c r="AO14" s="30">
        <v>1</v>
      </c>
      <c r="AP14" s="30">
        <f t="shared" si="0"/>
        <v>1</v>
      </c>
    </row>
    <row r="15" spans="1:42">
      <c r="A15" s="290">
        <v>11</v>
      </c>
      <c r="B15" s="289" t="s">
        <v>218</v>
      </c>
      <c r="C15" s="289" t="s">
        <v>169</v>
      </c>
      <c r="D15" s="289" t="s">
        <v>1616</v>
      </c>
      <c r="E15" s="288" t="s">
        <v>188</v>
      </c>
      <c r="F15" s="288"/>
      <c r="G15" s="311" t="s">
        <v>1618</v>
      </c>
      <c r="H15" s="288"/>
      <c r="I15" s="304">
        <v>2.4184492523326444E-3</v>
      </c>
      <c r="J15" s="305">
        <v>3.5176357141887118E-2</v>
      </c>
      <c r="K15" s="305">
        <v>1.8888888888888888E-4</v>
      </c>
      <c r="L15" s="306">
        <v>1874</v>
      </c>
      <c r="M15" s="305">
        <f t="shared" si="3"/>
        <v>1.8740000000000001</v>
      </c>
      <c r="N15" s="305">
        <v>3.7022222222222219</v>
      </c>
      <c r="O15" s="307">
        <v>8.5327130333333323E-4</v>
      </c>
      <c r="P15" s="289" t="s">
        <v>219</v>
      </c>
      <c r="Q15" s="289" t="s">
        <v>218</v>
      </c>
      <c r="R15" s="302">
        <v>2.4184492523326444E-3</v>
      </c>
      <c r="S15" s="302">
        <v>3.5176357141887118E-2</v>
      </c>
      <c r="T15" s="302">
        <v>3.7022222222222219</v>
      </c>
      <c r="U15" s="302">
        <v>8.5327130333333323E-4</v>
      </c>
      <c r="V15" s="17"/>
      <c r="W15" s="18"/>
      <c r="X15" s="19"/>
      <c r="Y15" s="20"/>
      <c r="Z15" s="20"/>
      <c r="AA15" s="21"/>
      <c r="AB15" s="22"/>
      <c r="AC15" s="47" t="s">
        <v>220</v>
      </c>
      <c r="AD15" s="40">
        <v>6.4445162762328543E-3</v>
      </c>
      <c r="AE15" s="40">
        <v>0.15799199376661985</v>
      </c>
      <c r="AF15" s="40">
        <v>44.286857142857137</v>
      </c>
      <c r="AG15" s="41">
        <v>2.0593795553696392E-3</v>
      </c>
      <c r="AH15" s="27"/>
      <c r="AI15" s="47" t="s">
        <v>220</v>
      </c>
      <c r="AJ15" s="42">
        <v>1</v>
      </c>
      <c r="AK15" s="42">
        <v>4</v>
      </c>
      <c r="AL15" s="42">
        <v>10</v>
      </c>
      <c r="AM15" s="43">
        <v>2</v>
      </c>
      <c r="AN15" s="30"/>
      <c r="AO15" s="30">
        <v>4.25</v>
      </c>
      <c r="AP15" s="30">
        <f t="shared" si="0"/>
        <v>4.25</v>
      </c>
    </row>
    <row r="16" spans="1:42">
      <c r="A16" s="288">
        <v>12</v>
      </c>
      <c r="B16" s="288" t="s">
        <v>221</v>
      </c>
      <c r="C16" s="288" t="s">
        <v>169</v>
      </c>
      <c r="D16" s="289" t="s">
        <v>1616</v>
      </c>
      <c r="E16" s="288" t="s">
        <v>188</v>
      </c>
      <c r="F16" s="288" t="s">
        <v>222</v>
      </c>
      <c r="G16" s="288" t="s">
        <v>223</v>
      </c>
      <c r="H16" s="288"/>
      <c r="I16" s="304">
        <v>1.6939344187576338E-2</v>
      </c>
      <c r="J16" s="305">
        <v>0.12747220842521731</v>
      </c>
      <c r="K16" s="305">
        <v>6.4159613314729389E-4</v>
      </c>
      <c r="L16" s="306">
        <v>11362</v>
      </c>
      <c r="M16" s="305">
        <f t="shared" si="3"/>
        <v>11.362</v>
      </c>
      <c r="N16" s="305">
        <v>7.7308430589999997</v>
      </c>
      <c r="O16" s="307">
        <v>1.9596661512744689E-4</v>
      </c>
      <c r="P16" s="288" t="s">
        <v>224</v>
      </c>
      <c r="Q16" s="288" t="s">
        <v>221</v>
      </c>
      <c r="R16" s="302">
        <v>1.6939344187576338E-2</v>
      </c>
      <c r="S16" s="302">
        <v>0.12747220842521731</v>
      </c>
      <c r="T16" s="302">
        <v>7.7308430589999997</v>
      </c>
      <c r="U16" s="302">
        <v>1.9596661512744689E-4</v>
      </c>
      <c r="V16" s="17"/>
      <c r="W16" s="18"/>
      <c r="X16" s="19"/>
      <c r="Y16" s="20"/>
      <c r="Z16" s="20"/>
      <c r="AA16" s="21"/>
      <c r="AB16" s="22"/>
      <c r="AC16" s="47" t="s">
        <v>225</v>
      </c>
      <c r="AD16" s="40">
        <v>1.655487072173668E-2</v>
      </c>
      <c r="AE16" s="40">
        <v>0.51142133383528077</v>
      </c>
      <c r="AF16" s="40">
        <v>7.8334208027142873</v>
      </c>
      <c r="AG16" s="41">
        <v>2.9773812727677332E-3</v>
      </c>
      <c r="AH16" s="27"/>
      <c r="AI16" s="47" t="s">
        <v>225</v>
      </c>
      <c r="AJ16" s="42">
        <v>1</v>
      </c>
      <c r="AK16" s="42">
        <v>10</v>
      </c>
      <c r="AL16" s="42">
        <v>2</v>
      </c>
      <c r="AM16" s="43">
        <v>2</v>
      </c>
      <c r="AN16" s="30"/>
      <c r="AO16" s="30">
        <v>3.75</v>
      </c>
      <c r="AP16" s="30">
        <f t="shared" si="0"/>
        <v>3.75</v>
      </c>
    </row>
    <row r="17" spans="1:42">
      <c r="A17" s="288">
        <v>13</v>
      </c>
      <c r="B17" s="288" t="s">
        <v>226</v>
      </c>
      <c r="C17" s="288" t="s">
        <v>169</v>
      </c>
      <c r="D17" s="289" t="s">
        <v>1616</v>
      </c>
      <c r="E17" s="288"/>
      <c r="F17" s="288"/>
      <c r="G17" s="288"/>
      <c r="H17" s="288"/>
      <c r="I17" s="304"/>
      <c r="J17" s="305"/>
      <c r="K17" s="305"/>
      <c r="L17" s="306"/>
      <c r="M17" s="305"/>
      <c r="N17" s="305"/>
      <c r="O17" s="307"/>
      <c r="P17" s="288" t="s">
        <v>227</v>
      </c>
      <c r="Q17" s="288" t="s">
        <v>226</v>
      </c>
      <c r="R17" s="302">
        <v>8.8641917981804538E-4</v>
      </c>
      <c r="S17" s="302">
        <v>6.6285714285714281E-2</v>
      </c>
      <c r="T17" s="302">
        <v>10.068000000000001</v>
      </c>
      <c r="U17" s="302">
        <v>1.4688000000000001E-3</v>
      </c>
      <c r="V17" s="17"/>
      <c r="W17" s="18"/>
      <c r="X17" s="19"/>
      <c r="Y17" s="20"/>
      <c r="Z17" s="20"/>
      <c r="AA17" s="21"/>
      <c r="AB17" s="22"/>
      <c r="AC17" s="47" t="s">
        <v>228</v>
      </c>
      <c r="AD17" s="40">
        <v>1.4835387543937378E-2</v>
      </c>
      <c r="AE17" s="40">
        <v>5.5418029952482711E-2</v>
      </c>
      <c r="AF17" s="40">
        <v>1.1325957945833334</v>
      </c>
      <c r="AG17" s="41">
        <v>1.0528343533395652E-3</v>
      </c>
      <c r="AH17" s="27"/>
      <c r="AI17" s="47" t="s">
        <v>228</v>
      </c>
      <c r="AJ17" s="42">
        <v>1</v>
      </c>
      <c r="AK17" s="42">
        <v>2</v>
      </c>
      <c r="AL17" s="42">
        <v>1</v>
      </c>
      <c r="AM17" s="43">
        <v>1</v>
      </c>
      <c r="AN17" s="30"/>
      <c r="AO17" s="30">
        <v>1.25</v>
      </c>
      <c r="AP17" s="30">
        <f t="shared" si="0"/>
        <v>1.25</v>
      </c>
    </row>
    <row r="18" spans="1:42" ht="16.5" customHeight="1">
      <c r="A18" s="290">
        <v>15</v>
      </c>
      <c r="B18" s="288" t="s">
        <v>229</v>
      </c>
      <c r="C18" s="288" t="s">
        <v>169</v>
      </c>
      <c r="D18" s="289" t="s">
        <v>1616</v>
      </c>
      <c r="E18" s="288" t="s">
        <v>188</v>
      </c>
      <c r="F18" s="288" t="s">
        <v>230</v>
      </c>
      <c r="G18" s="288" t="s">
        <v>231</v>
      </c>
      <c r="H18" s="288"/>
      <c r="I18" s="304">
        <v>1.9306129458663359E-3</v>
      </c>
      <c r="J18" s="305">
        <v>3.9248033695195798E-2</v>
      </c>
      <c r="K18" s="305">
        <v>2.2000000000000001E-4</v>
      </c>
      <c r="L18" s="306">
        <v>1405</v>
      </c>
      <c r="M18" s="305">
        <f t="shared" ref="M18:M23" si="5">L18/1000</f>
        <v>1.405</v>
      </c>
      <c r="N18" s="305">
        <f t="shared" ref="N18:N21" si="6">L18/1000</f>
        <v>1.405</v>
      </c>
      <c r="O18" s="307">
        <v>2.1384856875782642E-3</v>
      </c>
      <c r="P18" s="288" t="s">
        <v>232</v>
      </c>
      <c r="Q18" s="288" t="s">
        <v>229</v>
      </c>
      <c r="R18" s="302">
        <v>1.9306129458663359E-3</v>
      </c>
      <c r="S18" s="302">
        <v>3.9248033695195798E-2</v>
      </c>
      <c r="T18" s="302">
        <v>1.405</v>
      </c>
      <c r="U18" s="302">
        <v>2.1384856875782642E-3</v>
      </c>
      <c r="V18" s="17"/>
      <c r="W18" s="18"/>
      <c r="X18" s="19"/>
      <c r="Y18" s="20"/>
      <c r="Z18" s="20"/>
      <c r="AA18" s="21"/>
      <c r="AB18" s="22"/>
      <c r="AC18" s="47" t="s">
        <v>233</v>
      </c>
      <c r="AD18" s="40">
        <v>1.57546416357447E-2</v>
      </c>
      <c r="AE18" s="40">
        <v>0.12838684736414935</v>
      </c>
      <c r="AF18" s="40">
        <v>3.485586947692898</v>
      </c>
      <c r="AG18" s="41">
        <v>7.7898696835106956E-3</v>
      </c>
      <c r="AH18" s="27"/>
      <c r="AI18" s="47" t="s">
        <v>233</v>
      </c>
      <c r="AJ18" s="42">
        <v>1</v>
      </c>
      <c r="AK18" s="42">
        <v>3</v>
      </c>
      <c r="AL18" s="42">
        <v>1</v>
      </c>
      <c r="AM18" s="43">
        <v>4</v>
      </c>
      <c r="AN18" s="30"/>
      <c r="AO18" s="30">
        <v>2.25</v>
      </c>
      <c r="AP18" s="30">
        <f t="shared" si="0"/>
        <v>2.25</v>
      </c>
    </row>
    <row r="19" spans="1:42">
      <c r="A19" s="288">
        <v>16</v>
      </c>
      <c r="B19" s="288" t="s">
        <v>234</v>
      </c>
      <c r="C19" s="288" t="s">
        <v>169</v>
      </c>
      <c r="D19" s="289" t="s">
        <v>1616</v>
      </c>
      <c r="E19" s="288" t="s">
        <v>188</v>
      </c>
      <c r="F19" s="288"/>
      <c r="G19" s="303" t="s">
        <v>231</v>
      </c>
      <c r="H19" s="303"/>
      <c r="I19" s="304">
        <v>1.9306129458663359E-3</v>
      </c>
      <c r="J19" s="305">
        <v>3.9248033695195798E-2</v>
      </c>
      <c r="K19" s="305">
        <v>2.2000000000000001E-4</v>
      </c>
      <c r="L19" s="306">
        <v>1405</v>
      </c>
      <c r="M19" s="305">
        <f t="shared" si="5"/>
        <v>1.405</v>
      </c>
      <c r="N19" s="305">
        <f t="shared" si="6"/>
        <v>1.405</v>
      </c>
      <c r="O19" s="307">
        <v>2.1384856875782642E-3</v>
      </c>
      <c r="P19" s="288" t="s">
        <v>235</v>
      </c>
      <c r="Q19" s="288" t="s">
        <v>234</v>
      </c>
      <c r="R19" s="302">
        <v>1.9306129458663359E-3</v>
      </c>
      <c r="S19" s="302">
        <v>3.9248033695195798E-2</v>
      </c>
      <c r="T19" s="302">
        <v>1.405</v>
      </c>
      <c r="U19" s="302">
        <v>2.1384856875782642E-3</v>
      </c>
      <c r="V19" s="17"/>
      <c r="W19" s="18"/>
      <c r="X19" s="19"/>
      <c r="Y19" s="20"/>
      <c r="Z19" s="20"/>
      <c r="AA19" s="21"/>
      <c r="AB19" s="22"/>
      <c r="AC19" s="47" t="s">
        <v>236</v>
      </c>
      <c r="AD19" s="40">
        <v>0.33861574838345965</v>
      </c>
      <c r="AE19" s="40">
        <v>0.46502212660477199</v>
      </c>
      <c r="AF19" s="40">
        <v>10.153495439951458</v>
      </c>
      <c r="AG19" s="41">
        <v>1.957189571780912E-2</v>
      </c>
      <c r="AH19" s="27"/>
      <c r="AI19" s="47" t="s">
        <v>236</v>
      </c>
      <c r="AJ19" s="42">
        <v>10</v>
      </c>
      <c r="AK19" s="42">
        <v>10</v>
      </c>
      <c r="AL19" s="42">
        <v>3</v>
      </c>
      <c r="AM19" s="43">
        <v>10</v>
      </c>
      <c r="AN19" s="30"/>
      <c r="AO19" s="30">
        <v>8.25</v>
      </c>
      <c r="AP19" s="30">
        <f t="shared" si="0"/>
        <v>8.25</v>
      </c>
    </row>
    <row r="20" spans="1:42">
      <c r="A20" s="288">
        <v>17</v>
      </c>
      <c r="B20" s="288" t="s">
        <v>237</v>
      </c>
      <c r="C20" s="288" t="s">
        <v>169</v>
      </c>
      <c r="D20" s="289" t="s">
        <v>1616</v>
      </c>
      <c r="E20" s="288" t="s">
        <v>188</v>
      </c>
      <c r="F20" s="288" t="s">
        <v>230</v>
      </c>
      <c r="G20" s="288" t="s">
        <v>231</v>
      </c>
      <c r="H20" s="288"/>
      <c r="I20" s="304">
        <v>1.9306129458663359E-3</v>
      </c>
      <c r="J20" s="305">
        <v>3.9248033695195798E-2</v>
      </c>
      <c r="K20" s="305">
        <v>2.2000000000000001E-4</v>
      </c>
      <c r="L20" s="306">
        <v>1405</v>
      </c>
      <c r="M20" s="305">
        <f t="shared" si="5"/>
        <v>1.405</v>
      </c>
      <c r="N20" s="305">
        <f t="shared" si="6"/>
        <v>1.405</v>
      </c>
      <c r="O20" s="307">
        <v>2.1384856875782642E-3</v>
      </c>
      <c r="P20" s="288" t="s">
        <v>238</v>
      </c>
      <c r="Q20" s="288" t="s">
        <v>237</v>
      </c>
      <c r="R20" s="302">
        <v>1.9306129458663359E-3</v>
      </c>
      <c r="S20" s="302">
        <v>3.9248033695195798E-2</v>
      </c>
      <c r="T20" s="302">
        <v>1.405</v>
      </c>
      <c r="U20" s="302">
        <v>2.1384856875782642E-3</v>
      </c>
      <c r="V20" s="17"/>
      <c r="W20" s="18"/>
      <c r="X20" s="19"/>
      <c r="Y20" s="20"/>
      <c r="Z20" s="20"/>
      <c r="AA20" s="21"/>
      <c r="AB20" s="22"/>
      <c r="AC20" s="47" t="s">
        <v>239</v>
      </c>
      <c r="AD20" s="40">
        <v>2.9059287554692143E-2</v>
      </c>
      <c r="AE20" s="40">
        <v>8.8462474690041065E-2</v>
      </c>
      <c r="AF20" s="40">
        <v>6.1878971954180058</v>
      </c>
      <c r="AG20" s="41">
        <v>1.7614451364667094E-3</v>
      </c>
      <c r="AH20" s="27"/>
      <c r="AI20" s="47" t="s">
        <v>239</v>
      </c>
      <c r="AJ20" s="42">
        <v>1</v>
      </c>
      <c r="AK20" s="42">
        <v>2</v>
      </c>
      <c r="AL20" s="42">
        <v>2</v>
      </c>
      <c r="AM20" s="43">
        <v>1</v>
      </c>
      <c r="AN20" s="30"/>
      <c r="AO20" s="30">
        <v>1.5</v>
      </c>
      <c r="AP20" s="30">
        <f t="shared" si="0"/>
        <v>1.5</v>
      </c>
    </row>
    <row r="21" spans="1:42">
      <c r="A21" s="288">
        <v>18</v>
      </c>
      <c r="B21" s="288" t="s">
        <v>1005</v>
      </c>
      <c r="C21" s="289" t="s">
        <v>169</v>
      </c>
      <c r="D21" s="289" t="s">
        <v>1616</v>
      </c>
      <c r="E21" s="288" t="s">
        <v>188</v>
      </c>
      <c r="F21" s="288" t="s">
        <v>240</v>
      </c>
      <c r="G21" s="288" t="s">
        <v>200</v>
      </c>
      <c r="H21" s="288"/>
      <c r="I21" s="304">
        <v>3.7044615384615384E-3</v>
      </c>
      <c r="J21" s="305">
        <v>0.11525538461538461</v>
      </c>
      <c r="K21" s="305">
        <v>1.3846153846153847E-5</v>
      </c>
      <c r="L21" s="306">
        <v>119</v>
      </c>
      <c r="M21" s="305">
        <f t="shared" si="5"/>
        <v>0.11899999999999999</v>
      </c>
      <c r="N21" s="305">
        <f t="shared" si="6"/>
        <v>0.11899999999999999</v>
      </c>
      <c r="O21" s="307">
        <v>1.3566892307692306E-4</v>
      </c>
      <c r="P21" s="289" t="s">
        <v>241</v>
      </c>
      <c r="Q21" s="288" t="s">
        <v>1005</v>
      </c>
      <c r="R21" s="302">
        <v>3.7044615384615384E-3</v>
      </c>
      <c r="S21" s="302">
        <v>0.11525538461538461</v>
      </c>
      <c r="T21" s="302">
        <v>0.11899999999999999</v>
      </c>
      <c r="U21" s="302">
        <v>1.3566892307692306E-4</v>
      </c>
      <c r="V21" s="17"/>
      <c r="W21" s="18"/>
      <c r="X21" s="19"/>
      <c r="Y21" s="20"/>
      <c r="Z21" s="20"/>
      <c r="AA21" s="21"/>
      <c r="AB21" s="22"/>
      <c r="AC21" s="47" t="s">
        <v>242</v>
      </c>
      <c r="AD21" s="40">
        <v>5.5636766460262456E-4</v>
      </c>
      <c r="AE21" s="40">
        <v>1.354456626711356E-2</v>
      </c>
      <c r="AF21" s="40">
        <v>0.66982758620000005</v>
      </c>
      <c r="AG21" s="41">
        <v>7.0431572008113595E-4</v>
      </c>
      <c r="AH21" s="27"/>
      <c r="AI21" s="47" t="s">
        <v>242</v>
      </c>
      <c r="AJ21" s="42">
        <v>1</v>
      </c>
      <c r="AK21" s="42">
        <v>1</v>
      </c>
      <c r="AL21" s="42">
        <v>1</v>
      </c>
      <c r="AM21" s="43">
        <v>1</v>
      </c>
      <c r="AN21" s="30"/>
      <c r="AO21" s="30">
        <v>1</v>
      </c>
      <c r="AP21" s="30">
        <f t="shared" si="0"/>
        <v>1</v>
      </c>
    </row>
    <row r="22" spans="1:42" ht="16" thickBot="1">
      <c r="A22" s="290">
        <v>19</v>
      </c>
      <c r="B22" s="288" t="s">
        <v>243</v>
      </c>
      <c r="C22" s="289" t="s">
        <v>169</v>
      </c>
      <c r="D22" s="289" t="s">
        <v>1616</v>
      </c>
      <c r="E22" s="288" t="s">
        <v>188</v>
      </c>
      <c r="F22" s="288" t="s">
        <v>244</v>
      </c>
      <c r="G22" s="288" t="s">
        <v>245</v>
      </c>
      <c r="H22" s="288"/>
      <c r="I22" s="304">
        <v>7.8192986778290174E-4</v>
      </c>
      <c r="J22" s="305">
        <v>1.0586602592799924E-2</v>
      </c>
      <c r="K22" s="305">
        <v>3.4138107416879792E-4</v>
      </c>
      <c r="L22" s="306">
        <v>8277</v>
      </c>
      <c r="M22" s="305">
        <f t="shared" si="5"/>
        <v>8.2769999999999992</v>
      </c>
      <c r="N22" s="305">
        <v>8.3085434780000007</v>
      </c>
      <c r="O22" s="307">
        <v>1.6500695191567171E-4</v>
      </c>
      <c r="P22" s="289" t="s">
        <v>246</v>
      </c>
      <c r="Q22" s="288" t="s">
        <v>243</v>
      </c>
      <c r="R22" s="302">
        <v>7.8192986778290174E-4</v>
      </c>
      <c r="S22" s="302">
        <v>1.0586602592799924E-2</v>
      </c>
      <c r="T22" s="302">
        <v>8.3085434780000007</v>
      </c>
      <c r="U22" s="302">
        <v>1.6500695191567171E-4</v>
      </c>
      <c r="V22" s="17"/>
      <c r="W22" s="18"/>
      <c r="X22" s="19"/>
      <c r="Y22" s="20"/>
      <c r="Z22" s="20"/>
      <c r="AA22" s="21"/>
      <c r="AB22" s="22"/>
      <c r="AC22" s="52" t="s">
        <v>247</v>
      </c>
      <c r="AD22" s="53">
        <v>1.2712094776305219E-3</v>
      </c>
      <c r="AE22" s="53">
        <v>2.2446556063453339E-2</v>
      </c>
      <c r="AF22" s="53">
        <v>1.4468795669226735</v>
      </c>
      <c r="AG22" s="54">
        <v>6.9335677941490697E-4</v>
      </c>
      <c r="AH22" s="27"/>
      <c r="AI22" s="52" t="s">
        <v>247</v>
      </c>
      <c r="AJ22" s="55">
        <v>1</v>
      </c>
      <c r="AK22" s="55">
        <v>1</v>
      </c>
      <c r="AL22" s="55">
        <v>1</v>
      </c>
      <c r="AM22" s="56">
        <v>1</v>
      </c>
      <c r="AN22" s="30"/>
      <c r="AO22" s="57">
        <v>1</v>
      </c>
      <c r="AP22" s="57">
        <f t="shared" si="0"/>
        <v>1</v>
      </c>
    </row>
    <row r="23" spans="1:42" ht="16" thickTop="1">
      <c r="A23" s="288">
        <v>20</v>
      </c>
      <c r="B23" s="289" t="s">
        <v>248</v>
      </c>
      <c r="C23" s="289" t="s">
        <v>169</v>
      </c>
      <c r="D23" s="289" t="s">
        <v>1616</v>
      </c>
      <c r="E23" s="288" t="s">
        <v>188</v>
      </c>
      <c r="F23" s="289" t="s">
        <v>248</v>
      </c>
      <c r="G23" s="288" t="s">
        <v>200</v>
      </c>
      <c r="H23" s="288"/>
      <c r="I23" s="304">
        <v>2.5104287393882085E-3</v>
      </c>
      <c r="J23" s="305">
        <v>0.12077642340358601</v>
      </c>
      <c r="K23" s="305">
        <v>1.1761358644033755E-3</v>
      </c>
      <c r="L23" s="306">
        <v>11914</v>
      </c>
      <c r="M23" s="305">
        <f t="shared" si="5"/>
        <v>11.914</v>
      </c>
      <c r="N23" s="305">
        <f>L23/1000</f>
        <v>11.914</v>
      </c>
      <c r="O23" s="307">
        <v>1.1442664359861592E-3</v>
      </c>
      <c r="P23" s="289" t="s">
        <v>249</v>
      </c>
      <c r="Q23" s="289" t="s">
        <v>248</v>
      </c>
      <c r="R23" s="302">
        <v>2.5104287393882085E-3</v>
      </c>
      <c r="S23" s="302">
        <v>0.12077642340358601</v>
      </c>
      <c r="T23" s="302">
        <v>11.914</v>
      </c>
      <c r="U23" s="302">
        <v>1.1442664359861592E-3</v>
      </c>
      <c r="V23" s="17"/>
      <c r="W23" s="37" t="s">
        <v>179</v>
      </c>
      <c r="X23" s="19">
        <f t="shared" ref="X23:AA23" si="7">AVERAGE(R12:R23)</f>
        <v>3.2377197119273417E-3</v>
      </c>
      <c r="Y23" s="20">
        <f t="shared" si="7"/>
        <v>5.1720096865054556E-2</v>
      </c>
      <c r="Z23" s="20">
        <f t="shared" si="7"/>
        <v>4.2841409488662014</v>
      </c>
      <c r="AA23" s="21">
        <f t="shared" si="7"/>
        <v>1.4811555945130972E-3</v>
      </c>
      <c r="AB23" s="22"/>
      <c r="AH23" s="27"/>
      <c r="AI23" s="27"/>
      <c r="AN23" s="58"/>
      <c r="AO23" s="58"/>
      <c r="AP23" s="58"/>
    </row>
    <row r="24" spans="1:42">
      <c r="A24" s="290">
        <v>21</v>
      </c>
      <c r="B24" s="288" t="s">
        <v>250</v>
      </c>
      <c r="C24" s="288" t="s">
        <v>169</v>
      </c>
      <c r="D24" s="288" t="s">
        <v>251</v>
      </c>
      <c r="E24" s="288" t="s">
        <v>252</v>
      </c>
      <c r="F24" s="288" t="s">
        <v>253</v>
      </c>
      <c r="G24" s="288" t="s">
        <v>254</v>
      </c>
      <c r="H24" s="288"/>
      <c r="I24" s="304">
        <v>5.408949017510318E-4</v>
      </c>
      <c r="J24" s="305">
        <v>2.9059467320077442E-2</v>
      </c>
      <c r="K24" s="305">
        <v>1.7188466484573448E-5</v>
      </c>
      <c r="L24" s="306" t="s">
        <v>177</v>
      </c>
      <c r="M24" s="306" t="s">
        <v>177</v>
      </c>
      <c r="N24" s="305">
        <v>6.0398361400000003E-2</v>
      </c>
      <c r="O24" s="307">
        <v>1.4199239909412813E-4</v>
      </c>
      <c r="P24" s="288" t="s">
        <v>255</v>
      </c>
      <c r="Q24" s="288" t="s">
        <v>250</v>
      </c>
      <c r="R24" s="302">
        <v>5.408949017510318E-4</v>
      </c>
      <c r="S24" s="302">
        <v>2.9059467320077442E-2</v>
      </c>
      <c r="T24" s="302">
        <v>6.0398361400000003E-2</v>
      </c>
      <c r="U24" s="302">
        <v>1.4199239909412813E-4</v>
      </c>
      <c r="V24" s="17"/>
      <c r="W24" s="18"/>
      <c r="X24" s="19"/>
      <c r="Y24" s="20"/>
      <c r="Z24" s="20"/>
      <c r="AA24" s="21"/>
      <c r="AB24" s="22"/>
      <c r="AC24" s="59">
        <v>0</v>
      </c>
      <c r="AD24" s="59">
        <v>0</v>
      </c>
      <c r="AE24" s="59">
        <v>0</v>
      </c>
      <c r="AF24" s="59">
        <v>0</v>
      </c>
      <c r="AG24" s="59">
        <v>0</v>
      </c>
      <c r="AH24" s="27"/>
      <c r="AI24" s="60">
        <v>0</v>
      </c>
      <c r="AN24" s="58"/>
      <c r="AO24" s="58"/>
      <c r="AP24" s="58">
        <v>0</v>
      </c>
    </row>
    <row r="25" spans="1:42">
      <c r="A25" s="288">
        <v>22</v>
      </c>
      <c r="B25" s="288" t="s">
        <v>256</v>
      </c>
      <c r="C25" s="288" t="s">
        <v>169</v>
      </c>
      <c r="D25" s="288" t="s">
        <v>251</v>
      </c>
      <c r="E25" s="288"/>
      <c r="F25" s="288" t="s">
        <v>257</v>
      </c>
      <c r="G25" s="288" t="s">
        <v>258</v>
      </c>
      <c r="H25" s="288"/>
      <c r="I25" s="304">
        <v>0</v>
      </c>
      <c r="J25" s="305">
        <v>0</v>
      </c>
      <c r="K25" s="305">
        <v>0</v>
      </c>
      <c r="L25" s="306" t="s">
        <v>177</v>
      </c>
      <c r="M25" s="306" t="s">
        <v>177</v>
      </c>
      <c r="N25" s="305">
        <v>0</v>
      </c>
      <c r="O25" s="307">
        <v>0</v>
      </c>
      <c r="P25" s="288" t="s">
        <v>259</v>
      </c>
      <c r="Q25" s="288" t="s">
        <v>256</v>
      </c>
      <c r="R25" s="302">
        <v>0</v>
      </c>
      <c r="S25" s="302">
        <v>0</v>
      </c>
      <c r="T25" s="302">
        <v>0</v>
      </c>
      <c r="U25" s="302">
        <v>0</v>
      </c>
      <c r="V25" s="17"/>
      <c r="W25" s="18"/>
      <c r="X25" s="19"/>
      <c r="Y25" s="20"/>
      <c r="Z25" s="20"/>
      <c r="AA25" s="21"/>
      <c r="AB25" s="22"/>
      <c r="AC25" s="61">
        <v>1</v>
      </c>
      <c r="AD25" s="62">
        <v>3.3861574838345967E-2</v>
      </c>
      <c r="AE25" s="62">
        <v>5.1142133383528077E-2</v>
      </c>
      <c r="AF25" s="63">
        <v>4.4286857142857139</v>
      </c>
      <c r="AG25" s="62">
        <v>1.9571895717809115E-3</v>
      </c>
      <c r="AH25" s="27"/>
      <c r="AI25" s="60">
        <v>1</v>
      </c>
      <c r="AP25" s="64">
        <f t="shared" ref="AP25:AP33" si="8">AI25/AI26*AP26</f>
        <v>0.82499999999999996</v>
      </c>
    </row>
    <row r="26" spans="1:42">
      <c r="A26" s="288">
        <v>23</v>
      </c>
      <c r="B26" s="288" t="s">
        <v>260</v>
      </c>
      <c r="C26" s="288" t="s">
        <v>169</v>
      </c>
      <c r="D26" s="288" t="s">
        <v>251</v>
      </c>
      <c r="E26" s="288"/>
      <c r="F26" s="288" t="s">
        <v>257</v>
      </c>
      <c r="G26" s="288" t="s">
        <v>261</v>
      </c>
      <c r="H26" s="288"/>
      <c r="I26" s="304">
        <v>0</v>
      </c>
      <c r="J26" s="305">
        <v>0</v>
      </c>
      <c r="K26" s="305">
        <v>0</v>
      </c>
      <c r="L26" s="306" t="s">
        <v>177</v>
      </c>
      <c r="M26" s="306" t="s">
        <v>177</v>
      </c>
      <c r="N26" s="305">
        <v>0</v>
      </c>
      <c r="O26" s="307">
        <v>0</v>
      </c>
      <c r="P26" s="288" t="s">
        <v>262</v>
      </c>
      <c r="Q26" s="288" t="s">
        <v>260</v>
      </c>
      <c r="R26" s="302">
        <v>0</v>
      </c>
      <c r="S26" s="302">
        <v>0</v>
      </c>
      <c r="T26" s="302">
        <v>0</v>
      </c>
      <c r="U26" s="302">
        <v>0</v>
      </c>
      <c r="V26" s="17"/>
      <c r="W26" s="18"/>
      <c r="X26" s="19"/>
      <c r="Y26" s="20"/>
      <c r="Z26" s="20"/>
      <c r="AA26" s="21"/>
      <c r="AB26" s="22"/>
      <c r="AC26" s="61">
        <v>2</v>
      </c>
      <c r="AD26" s="63">
        <v>6.7723149676691935E-2</v>
      </c>
      <c r="AE26" s="63">
        <v>0.10228426676705615</v>
      </c>
      <c r="AF26" s="63">
        <v>8.8573714285714278</v>
      </c>
      <c r="AG26" s="63">
        <v>3.914379143561823E-3</v>
      </c>
      <c r="AH26" s="27"/>
      <c r="AI26" s="60">
        <v>2</v>
      </c>
      <c r="AP26" s="64">
        <f t="shared" si="8"/>
        <v>1.65</v>
      </c>
    </row>
    <row r="27" spans="1:42">
      <c r="A27" s="288">
        <v>24</v>
      </c>
      <c r="B27" s="288" t="s">
        <v>263</v>
      </c>
      <c r="C27" s="288" t="s">
        <v>169</v>
      </c>
      <c r="D27" s="288" t="s">
        <v>251</v>
      </c>
      <c r="E27" s="288" t="s">
        <v>252</v>
      </c>
      <c r="F27" s="288" t="s">
        <v>264</v>
      </c>
      <c r="G27" s="288" t="s">
        <v>265</v>
      </c>
      <c r="H27" s="288"/>
      <c r="I27" s="304">
        <v>5.408949017510318E-4</v>
      </c>
      <c r="J27" s="305">
        <v>2.9059467320077442E-2</v>
      </c>
      <c r="K27" s="305">
        <v>1.7188466484573448E-5</v>
      </c>
      <c r="L27" s="306" t="s">
        <v>177</v>
      </c>
      <c r="M27" s="306" t="s">
        <v>177</v>
      </c>
      <c r="N27" s="305">
        <v>6.0398361400000003E-2</v>
      </c>
      <c r="O27" s="307">
        <v>1.4199239909412813E-4</v>
      </c>
      <c r="P27" s="288" t="s">
        <v>266</v>
      </c>
      <c r="Q27" s="288" t="s">
        <v>263</v>
      </c>
      <c r="R27" s="302">
        <v>5.408949017510318E-4</v>
      </c>
      <c r="S27" s="302">
        <v>2.9059467320077442E-2</v>
      </c>
      <c r="T27" s="302">
        <v>6.0398361400000003E-2</v>
      </c>
      <c r="U27" s="302">
        <v>1.4199239909412813E-4</v>
      </c>
      <c r="V27" s="17"/>
      <c r="W27" s="37" t="s">
        <v>182</v>
      </c>
      <c r="X27" s="19">
        <f t="shared" ref="X27:AA27" si="9">AVERAGE(R24:R27)</f>
        <v>2.704474508755159E-4</v>
      </c>
      <c r="Y27" s="20">
        <f t="shared" si="9"/>
        <v>1.4529733660038721E-2</v>
      </c>
      <c r="Z27" s="20">
        <f t="shared" si="9"/>
        <v>3.0199180700000001E-2</v>
      </c>
      <c r="AA27" s="21">
        <f t="shared" si="9"/>
        <v>7.0996199547064063E-5</v>
      </c>
      <c r="AB27" s="22"/>
      <c r="AC27" s="59">
        <v>3</v>
      </c>
      <c r="AD27" s="65">
        <v>0.10158472451503792</v>
      </c>
      <c r="AE27" s="62">
        <v>0.15342640015058423</v>
      </c>
      <c r="AF27" s="62">
        <v>13.286057142857143</v>
      </c>
      <c r="AG27" s="62">
        <v>5.8715687153427353E-3</v>
      </c>
      <c r="AH27" s="27"/>
      <c r="AI27" s="60">
        <v>3</v>
      </c>
      <c r="AP27" s="64">
        <f t="shared" si="8"/>
        <v>2.4750000000000001</v>
      </c>
    </row>
    <row r="28" spans="1:42">
      <c r="A28" s="288">
        <v>6</v>
      </c>
      <c r="B28" s="288" t="s">
        <v>267</v>
      </c>
      <c r="C28" s="288" t="s">
        <v>169</v>
      </c>
      <c r="D28" s="288" t="s">
        <v>268</v>
      </c>
      <c r="E28" s="288" t="s">
        <v>269</v>
      </c>
      <c r="F28" s="288" t="s">
        <v>270</v>
      </c>
      <c r="G28" s="288" t="s">
        <v>271</v>
      </c>
      <c r="H28" s="288"/>
      <c r="I28" s="304">
        <v>3.9296258940033015E-4</v>
      </c>
      <c r="J28" s="305">
        <v>7.1519191270860089E-3</v>
      </c>
      <c r="K28" s="305">
        <v>9.0111690160025949E-6</v>
      </c>
      <c r="L28" s="306" t="s">
        <v>177</v>
      </c>
      <c r="M28" s="306" t="s">
        <v>177</v>
      </c>
      <c r="N28" s="305">
        <v>0.45739285714285721</v>
      </c>
      <c r="O28" s="307">
        <v>1.2844553836475908E-4</v>
      </c>
      <c r="P28" s="288" t="s">
        <v>272</v>
      </c>
      <c r="Q28" s="288" t="s">
        <v>267</v>
      </c>
      <c r="R28" s="302">
        <v>3.9296258940033015E-4</v>
      </c>
      <c r="S28" s="302">
        <v>7.1519191270860089E-3</v>
      </c>
      <c r="T28" s="302">
        <v>0.45739285714285721</v>
      </c>
      <c r="U28" s="302">
        <v>1.2844553836475908E-4</v>
      </c>
      <c r="V28" s="17"/>
      <c r="W28" s="18"/>
      <c r="X28" s="19"/>
      <c r="Y28" s="20"/>
      <c r="Z28" s="20"/>
      <c r="AA28" s="21"/>
      <c r="AB28" s="22"/>
      <c r="AC28" s="59">
        <v>4</v>
      </c>
      <c r="AD28" s="65">
        <v>0.1354462993533839</v>
      </c>
      <c r="AE28" s="62">
        <v>0.20456853353411231</v>
      </c>
      <c r="AF28" s="66">
        <v>17.714742857142856</v>
      </c>
      <c r="AG28" s="62">
        <v>7.8287582871236477E-3</v>
      </c>
      <c r="AH28" s="27"/>
      <c r="AI28" s="60">
        <v>4</v>
      </c>
      <c r="AP28" s="64">
        <f t="shared" si="8"/>
        <v>3.3000000000000003</v>
      </c>
    </row>
    <row r="29" spans="1:42">
      <c r="A29" s="288">
        <v>7</v>
      </c>
      <c r="B29" s="288" t="s">
        <v>273</v>
      </c>
      <c r="C29" s="288" t="s">
        <v>169</v>
      </c>
      <c r="D29" s="288" t="s">
        <v>1619</v>
      </c>
      <c r="E29" s="288" t="s">
        <v>269</v>
      </c>
      <c r="F29" s="288" t="s">
        <v>270</v>
      </c>
      <c r="G29" s="288" t="s">
        <v>271</v>
      </c>
      <c r="H29" s="288"/>
      <c r="I29" s="304">
        <v>2.4451005562687207E-3</v>
      </c>
      <c r="J29" s="305">
        <v>4.4500830124090722E-2</v>
      </c>
      <c r="K29" s="305">
        <v>5.6069496099571696E-5</v>
      </c>
      <c r="L29" s="306" t="s">
        <v>177</v>
      </c>
      <c r="M29" s="306" t="s">
        <v>177</v>
      </c>
      <c r="N29" s="305">
        <v>2.8460000000000001</v>
      </c>
      <c r="O29" s="307">
        <v>7.9921668315850096E-4</v>
      </c>
      <c r="P29" s="288" t="s">
        <v>274</v>
      </c>
      <c r="Q29" s="288" t="s">
        <v>273</v>
      </c>
      <c r="R29" s="302">
        <v>2.4451005562687207E-3</v>
      </c>
      <c r="S29" s="302">
        <v>4.4500830124090722E-2</v>
      </c>
      <c r="T29" s="302">
        <v>2.8460000000000001</v>
      </c>
      <c r="U29" s="302">
        <v>7.9921668315850096E-4</v>
      </c>
      <c r="V29" s="17"/>
      <c r="W29" s="18"/>
      <c r="X29" s="19"/>
      <c r="Y29" s="20"/>
      <c r="Z29" s="20"/>
      <c r="AA29" s="21"/>
      <c r="AB29" s="22"/>
      <c r="AC29" s="59">
        <v>5</v>
      </c>
      <c r="AD29" s="65">
        <v>0.16930787419172985</v>
      </c>
      <c r="AE29" s="62">
        <v>0.25571066691764038</v>
      </c>
      <c r="AF29" s="66">
        <v>22.143428571428569</v>
      </c>
      <c r="AG29" s="62">
        <v>9.78594785890456E-3</v>
      </c>
      <c r="AH29" s="27"/>
      <c r="AI29" s="60">
        <v>5</v>
      </c>
      <c r="AP29" s="64">
        <f t="shared" si="8"/>
        <v>4.125</v>
      </c>
    </row>
    <row r="30" spans="1:42">
      <c r="A30" s="288">
        <v>8</v>
      </c>
      <c r="B30" s="288" t="s">
        <v>275</v>
      </c>
      <c r="C30" s="288" t="s">
        <v>169</v>
      </c>
      <c r="D30" s="288" t="s">
        <v>1619</v>
      </c>
      <c r="E30" s="288" t="s">
        <v>269</v>
      </c>
      <c r="F30" s="288" t="s">
        <v>270</v>
      </c>
      <c r="G30" s="288" t="s">
        <v>271</v>
      </c>
      <c r="H30" s="288"/>
      <c r="I30" s="304">
        <v>3.9296258940033015E-4</v>
      </c>
      <c r="J30" s="305">
        <v>7.1519191270860089E-3</v>
      </c>
      <c r="K30" s="305">
        <v>9.0111690160025949E-6</v>
      </c>
      <c r="L30" s="306" t="s">
        <v>177</v>
      </c>
      <c r="M30" s="306" t="s">
        <v>177</v>
      </c>
      <c r="N30" s="305">
        <v>0.45739285714285721</v>
      </c>
      <c r="O30" s="307">
        <v>1.2844553836475908E-4</v>
      </c>
      <c r="P30" s="288" t="s">
        <v>276</v>
      </c>
      <c r="Q30" s="288" t="s">
        <v>275</v>
      </c>
      <c r="R30" s="302">
        <v>3.9296258940033015E-4</v>
      </c>
      <c r="S30" s="302">
        <v>7.1519191270860089E-3</v>
      </c>
      <c r="T30" s="302">
        <v>0.45739285714285721</v>
      </c>
      <c r="U30" s="302">
        <v>1.2844553836475908E-4</v>
      </c>
      <c r="V30" s="17"/>
      <c r="W30" s="18"/>
      <c r="X30" s="19"/>
      <c r="Y30" s="20"/>
      <c r="Z30" s="20"/>
      <c r="AA30" s="21"/>
      <c r="AB30" s="22"/>
      <c r="AC30" s="59">
        <v>6</v>
      </c>
      <c r="AD30" s="65">
        <v>0.2031694490300758</v>
      </c>
      <c r="AE30" s="62">
        <v>0.30685280030116846</v>
      </c>
      <c r="AF30" s="66">
        <v>26.572114285714282</v>
      </c>
      <c r="AG30" s="66">
        <v>1.1743137430685471E-2</v>
      </c>
      <c r="AH30" s="27"/>
      <c r="AI30" s="60">
        <v>6</v>
      </c>
      <c r="AP30" s="64">
        <f t="shared" si="8"/>
        <v>4.9499999999999993</v>
      </c>
    </row>
    <row r="31" spans="1:42">
      <c r="A31" s="290">
        <v>25</v>
      </c>
      <c r="B31" s="288" t="s">
        <v>277</v>
      </c>
      <c r="C31" s="288" t="s">
        <v>169</v>
      </c>
      <c r="D31" s="288" t="s">
        <v>1619</v>
      </c>
      <c r="E31" s="288" t="s">
        <v>278</v>
      </c>
      <c r="F31" s="288" t="s">
        <v>277</v>
      </c>
      <c r="G31" s="288" t="s">
        <v>279</v>
      </c>
      <c r="H31" s="288"/>
      <c r="I31" s="304">
        <v>5.5830754650352915E-5</v>
      </c>
      <c r="J31" s="305">
        <v>1.5310196905766523E-3</v>
      </c>
      <c r="K31" s="305">
        <v>7.5780590717299575E-6</v>
      </c>
      <c r="L31" s="306">
        <v>11313</v>
      </c>
      <c r="M31" s="305">
        <f t="shared" ref="M31:M32" si="10">L31/1000</f>
        <v>11.313000000000001</v>
      </c>
      <c r="N31" s="305">
        <f t="shared" ref="N31:N32" si="11">L31/1000</f>
        <v>11.313000000000001</v>
      </c>
      <c r="O31" s="307">
        <v>3.6275960326593231E-5</v>
      </c>
      <c r="P31" s="288" t="s">
        <v>280</v>
      </c>
      <c r="Q31" s="288" t="s">
        <v>277</v>
      </c>
      <c r="R31" s="302">
        <v>5.5830754650352915E-5</v>
      </c>
      <c r="S31" s="302">
        <v>1.5310196905766523E-3</v>
      </c>
      <c r="T31" s="302">
        <v>11.313000000000001</v>
      </c>
      <c r="U31" s="302">
        <v>3.6275960326593231E-5</v>
      </c>
      <c r="V31" s="17"/>
      <c r="W31" s="18"/>
      <c r="X31" s="19"/>
      <c r="Y31" s="20"/>
      <c r="Z31" s="20"/>
      <c r="AA31" s="21"/>
      <c r="AB31" s="22"/>
      <c r="AC31" s="59">
        <v>7</v>
      </c>
      <c r="AD31" s="65">
        <v>0.23703102386842179</v>
      </c>
      <c r="AE31" s="62">
        <v>0.35799493368469654</v>
      </c>
      <c r="AF31" s="66">
        <v>31.000799999999998</v>
      </c>
      <c r="AG31" s="66">
        <v>1.3700327002466383E-2</v>
      </c>
      <c r="AH31" s="27"/>
      <c r="AI31" s="60">
        <v>7</v>
      </c>
      <c r="AP31" s="64">
        <f t="shared" si="8"/>
        <v>5.7749999999999995</v>
      </c>
    </row>
    <row r="32" spans="1:42">
      <c r="A32" s="288">
        <v>26</v>
      </c>
      <c r="B32" s="288" t="s">
        <v>281</v>
      </c>
      <c r="C32" s="288" t="s">
        <v>169</v>
      </c>
      <c r="D32" s="288" t="s">
        <v>1619</v>
      </c>
      <c r="E32" s="288" t="s">
        <v>278</v>
      </c>
      <c r="F32" s="288" t="s">
        <v>277</v>
      </c>
      <c r="G32" s="288" t="s">
        <v>200</v>
      </c>
      <c r="H32" s="288"/>
      <c r="I32" s="304">
        <v>5.5830754650352915E-5</v>
      </c>
      <c r="J32" s="305">
        <v>1.5310196905766523E-3</v>
      </c>
      <c r="K32" s="305">
        <v>7.5780590717299575E-6</v>
      </c>
      <c r="L32" s="306">
        <v>11313</v>
      </c>
      <c r="M32" s="305">
        <f t="shared" si="10"/>
        <v>11.313000000000001</v>
      </c>
      <c r="N32" s="305">
        <f t="shared" si="11"/>
        <v>11.313000000000001</v>
      </c>
      <c r="O32" s="307">
        <v>3.6275960326593231E-5</v>
      </c>
      <c r="P32" s="288" t="s">
        <v>282</v>
      </c>
      <c r="Q32" s="288" t="s">
        <v>281</v>
      </c>
      <c r="R32" s="302">
        <v>5.5830754650352915E-5</v>
      </c>
      <c r="S32" s="302">
        <v>1.5310196905766523E-3</v>
      </c>
      <c r="T32" s="302">
        <v>11.313000000000001</v>
      </c>
      <c r="U32" s="302">
        <v>3.6275960326593231E-5</v>
      </c>
      <c r="V32" s="17"/>
      <c r="W32" s="67" t="s">
        <v>186</v>
      </c>
      <c r="X32" s="19">
        <f t="shared" ref="X32:AA32" si="12">AVERAGE(R28:R32)</f>
        <v>6.6853744887401725E-4</v>
      </c>
      <c r="Y32" s="20">
        <f t="shared" si="12"/>
        <v>1.2373341551883209E-2</v>
      </c>
      <c r="Z32" s="20">
        <f t="shared" si="12"/>
        <v>5.2773571428571433</v>
      </c>
      <c r="AA32" s="21">
        <f t="shared" si="12"/>
        <v>2.2573193610824117E-4</v>
      </c>
      <c r="AB32" s="22"/>
      <c r="AC32" s="59">
        <v>8</v>
      </c>
      <c r="AD32" s="65">
        <v>0.27089259870676774</v>
      </c>
      <c r="AE32" s="62">
        <v>0.40913706706822461</v>
      </c>
      <c r="AF32" s="66">
        <v>35.429485714285711</v>
      </c>
      <c r="AG32" s="66">
        <v>1.5657516574247295E-2</v>
      </c>
      <c r="AH32" s="27"/>
      <c r="AI32" s="60">
        <v>8</v>
      </c>
      <c r="AP32" s="64">
        <f t="shared" si="8"/>
        <v>6.6</v>
      </c>
    </row>
    <row r="33" spans="1:42">
      <c r="A33" s="288">
        <v>47</v>
      </c>
      <c r="B33" s="288" t="s">
        <v>283</v>
      </c>
      <c r="C33" s="289" t="s">
        <v>284</v>
      </c>
      <c r="D33" s="312" t="s">
        <v>284</v>
      </c>
      <c r="E33" s="288" t="s">
        <v>285</v>
      </c>
      <c r="F33" s="288" t="s">
        <v>283</v>
      </c>
      <c r="G33" s="288" t="s">
        <v>1006</v>
      </c>
      <c r="H33" s="288"/>
      <c r="I33" s="304">
        <v>4.7583080568720385E-3</v>
      </c>
      <c r="J33" s="305">
        <v>1.399027962085308E-2</v>
      </c>
      <c r="K33" s="305">
        <v>9.3273274881516596E-5</v>
      </c>
      <c r="L33" s="306" t="s">
        <v>177</v>
      </c>
      <c r="M33" s="306" t="s">
        <v>177</v>
      </c>
      <c r="N33" s="305">
        <v>2.4390000000000001</v>
      </c>
      <c r="O33" s="307">
        <v>8.7765402843601901E-4</v>
      </c>
      <c r="P33" s="289" t="s">
        <v>286</v>
      </c>
      <c r="Q33" s="288" t="s">
        <v>283</v>
      </c>
      <c r="R33" s="302">
        <v>4.7583080568720385E-3</v>
      </c>
      <c r="S33" s="302">
        <v>1.399027962085308E-2</v>
      </c>
      <c r="T33" s="302">
        <v>2.4390000000000001</v>
      </c>
      <c r="U33" s="302">
        <v>8.7765402843601901E-4</v>
      </c>
      <c r="V33" s="17"/>
      <c r="W33" s="18"/>
      <c r="X33" s="19"/>
      <c r="Y33" s="20"/>
      <c r="Z33" s="20"/>
      <c r="AA33" s="21"/>
      <c r="AB33" s="22"/>
      <c r="AC33" s="59">
        <v>9</v>
      </c>
      <c r="AD33" s="69">
        <v>0.30475417354511403</v>
      </c>
      <c r="AE33" s="62">
        <v>0.46027920045175269</v>
      </c>
      <c r="AF33" s="66">
        <v>39.858171428571424</v>
      </c>
      <c r="AG33" s="66">
        <v>1.7614706146028208E-2</v>
      </c>
      <c r="AH33" s="27"/>
      <c r="AI33" s="60">
        <v>9</v>
      </c>
      <c r="AP33" s="64">
        <f t="shared" si="8"/>
        <v>7.4249999999999998</v>
      </c>
    </row>
    <row r="34" spans="1:42">
      <c r="A34" s="288">
        <v>50</v>
      </c>
      <c r="B34" s="288" t="s">
        <v>287</v>
      </c>
      <c r="C34" s="288" t="s">
        <v>284</v>
      </c>
      <c r="D34" s="313" t="s">
        <v>284</v>
      </c>
      <c r="E34" s="288"/>
      <c r="F34" s="288"/>
      <c r="G34" s="289"/>
      <c r="H34" s="289"/>
      <c r="I34" s="304"/>
      <c r="J34" s="305"/>
      <c r="K34" s="305"/>
      <c r="L34" s="306"/>
      <c r="M34" s="306"/>
      <c r="N34" s="305"/>
      <c r="O34" s="307"/>
      <c r="P34" s="288" t="s">
        <v>288</v>
      </c>
      <c r="Q34" s="288" t="s">
        <v>287</v>
      </c>
      <c r="R34" s="302">
        <v>3.1594500000000005E-2</v>
      </c>
      <c r="S34" s="302">
        <v>9.289349999999999E-2</v>
      </c>
      <c r="T34" s="302">
        <v>16.196249999999999</v>
      </c>
      <c r="U34" s="302">
        <v>5.8275000000000002E-3</v>
      </c>
      <c r="V34" s="17"/>
      <c r="W34" s="18"/>
      <c r="X34" s="19"/>
      <c r="Y34" s="20"/>
      <c r="Z34" s="20"/>
      <c r="AA34" s="21"/>
      <c r="AB34" s="22"/>
      <c r="AC34" s="59">
        <v>10</v>
      </c>
      <c r="AD34" s="62">
        <v>0.33861574838345965</v>
      </c>
      <c r="AE34" s="62">
        <v>0.51142133383528077</v>
      </c>
      <c r="AF34" s="62">
        <v>44.286857142857137</v>
      </c>
      <c r="AG34" s="62">
        <v>1.957189571780912E-2</v>
      </c>
      <c r="AH34" s="27"/>
      <c r="AI34" s="60">
        <v>10</v>
      </c>
      <c r="AN34" s="58"/>
      <c r="AO34" s="58"/>
      <c r="AP34" s="58">
        <v>8.25</v>
      </c>
    </row>
    <row r="35" spans="1:42">
      <c r="A35" s="290">
        <v>51</v>
      </c>
      <c r="B35" s="288" t="s">
        <v>289</v>
      </c>
      <c r="C35" s="288" t="s">
        <v>284</v>
      </c>
      <c r="D35" s="313" t="s">
        <v>284</v>
      </c>
      <c r="E35" s="288" t="s">
        <v>285</v>
      </c>
      <c r="F35" s="288" t="s">
        <v>289</v>
      </c>
      <c r="G35" s="288" t="s">
        <v>290</v>
      </c>
      <c r="H35" s="288"/>
      <c r="I35" s="304">
        <v>2.1063000000000002E-2</v>
      </c>
      <c r="J35" s="305">
        <v>6.1928999999999998E-2</v>
      </c>
      <c r="K35" s="305">
        <v>4.1288100000000003E-4</v>
      </c>
      <c r="L35" s="306" t="s">
        <v>177</v>
      </c>
      <c r="M35" s="306" t="s">
        <v>177</v>
      </c>
      <c r="N35" s="305">
        <v>10.797499999999999</v>
      </c>
      <c r="O35" s="307">
        <v>3.885E-3</v>
      </c>
      <c r="P35" s="288" t="s">
        <v>291</v>
      </c>
      <c r="Q35" s="288" t="s">
        <v>289</v>
      </c>
      <c r="R35" s="302">
        <v>2.1063000000000002E-2</v>
      </c>
      <c r="S35" s="302">
        <v>6.1928999999999998E-2</v>
      </c>
      <c r="T35" s="302">
        <v>10.797499999999999</v>
      </c>
      <c r="U35" s="302">
        <v>3.885E-3</v>
      </c>
      <c r="V35" s="17"/>
      <c r="W35" s="18"/>
      <c r="X35" s="19"/>
      <c r="Y35" s="20"/>
      <c r="Z35" s="20"/>
      <c r="AA35" s="21"/>
      <c r="AB35" s="22"/>
      <c r="AE35" s="27"/>
      <c r="AH35" s="27"/>
      <c r="AI35" s="27"/>
      <c r="AN35" s="58"/>
      <c r="AO35" s="58"/>
      <c r="AP35" s="58"/>
    </row>
    <row r="36" spans="1:42">
      <c r="A36" s="288">
        <v>52</v>
      </c>
      <c r="B36" s="288" t="s">
        <v>292</v>
      </c>
      <c r="C36" s="288" t="s">
        <v>284</v>
      </c>
      <c r="D36" s="313" t="s">
        <v>284</v>
      </c>
      <c r="E36" s="288" t="s">
        <v>285</v>
      </c>
      <c r="F36" s="288" t="s">
        <v>293</v>
      </c>
      <c r="G36" s="289" t="s">
        <v>294</v>
      </c>
      <c r="H36" s="289"/>
      <c r="I36" s="304">
        <v>9.8563298630136974E-3</v>
      </c>
      <c r="J36" s="305">
        <v>2.8979378630136984E-2</v>
      </c>
      <c r="K36" s="305">
        <v>1.9320568438356163E-4</v>
      </c>
      <c r="L36" s="306" t="s">
        <v>177</v>
      </c>
      <c r="M36" s="306" t="s">
        <v>177</v>
      </c>
      <c r="N36" s="305">
        <v>3.702</v>
      </c>
      <c r="O36" s="307">
        <v>1.8179671232876713E-3</v>
      </c>
      <c r="P36" s="288" t="s">
        <v>295</v>
      </c>
      <c r="Q36" s="288" t="s">
        <v>292</v>
      </c>
      <c r="R36" s="302">
        <v>9.8563298630136974E-3</v>
      </c>
      <c r="S36" s="302">
        <v>2.8979378630136984E-2</v>
      </c>
      <c r="T36" s="302">
        <v>3.702</v>
      </c>
      <c r="U36" s="302">
        <v>1.8179671232876713E-3</v>
      </c>
      <c r="V36" s="48"/>
      <c r="W36" s="18"/>
      <c r="X36" s="19"/>
      <c r="Y36" s="20"/>
      <c r="Z36" s="20"/>
      <c r="AA36" s="21"/>
      <c r="AB36" s="22"/>
      <c r="AH36" s="27"/>
      <c r="AI36" s="27"/>
      <c r="AN36" s="58"/>
      <c r="AO36" s="58"/>
      <c r="AP36" s="58"/>
    </row>
    <row r="37" spans="1:42">
      <c r="A37" s="288">
        <v>53</v>
      </c>
      <c r="B37" s="288" t="s">
        <v>296</v>
      </c>
      <c r="C37" s="288" t="s">
        <v>284</v>
      </c>
      <c r="D37" s="313" t="s">
        <v>284</v>
      </c>
      <c r="E37" s="288" t="s">
        <v>285</v>
      </c>
      <c r="F37" s="288" t="s">
        <v>296</v>
      </c>
      <c r="G37" s="289" t="s">
        <v>297</v>
      </c>
      <c r="H37" s="289"/>
      <c r="I37" s="304">
        <v>2.9198708530805688E-2</v>
      </c>
      <c r="J37" s="305">
        <v>8.5849443127962083E-2</v>
      </c>
      <c r="K37" s="305">
        <v>5.7235873222748809E-4</v>
      </c>
      <c r="L37" s="306" t="s">
        <v>177</v>
      </c>
      <c r="M37" s="306" t="s">
        <v>177</v>
      </c>
      <c r="N37" s="305">
        <v>14.968</v>
      </c>
      <c r="O37" s="307">
        <v>5.3856042654028434E-3</v>
      </c>
      <c r="P37" s="288" t="s">
        <v>298</v>
      </c>
      <c r="Q37" s="288" t="s">
        <v>296</v>
      </c>
      <c r="R37" s="302">
        <v>2.9198708530805688E-2</v>
      </c>
      <c r="S37" s="302">
        <v>8.5849443127962083E-2</v>
      </c>
      <c r="T37" s="302">
        <v>14.968</v>
      </c>
      <c r="U37" s="302">
        <v>5.3856042654028434E-3</v>
      </c>
      <c r="V37" s="17"/>
      <c r="W37" s="18"/>
      <c r="X37" s="19"/>
      <c r="Y37" s="20"/>
      <c r="Z37" s="20"/>
      <c r="AA37" s="21"/>
      <c r="AB37" s="22"/>
      <c r="AH37" s="27"/>
      <c r="AI37" s="27"/>
      <c r="AN37" s="58"/>
      <c r="AO37" s="58"/>
      <c r="AP37" s="58"/>
    </row>
    <row r="38" spans="1:42">
      <c r="A38" s="288">
        <v>54</v>
      </c>
      <c r="B38" s="288" t="s">
        <v>299</v>
      </c>
      <c r="C38" s="288" t="s">
        <v>284</v>
      </c>
      <c r="D38" s="313" t="s">
        <v>284</v>
      </c>
      <c r="E38" s="288" t="s">
        <v>285</v>
      </c>
      <c r="F38" s="288" t="s">
        <v>300</v>
      </c>
      <c r="G38" s="288" t="s">
        <v>301</v>
      </c>
      <c r="H38" s="288"/>
      <c r="I38" s="304">
        <v>2.2755265402843606E-2</v>
      </c>
      <c r="J38" s="305">
        <v>6.690456398104265E-2</v>
      </c>
      <c r="K38" s="305">
        <v>4.4605311374407592E-4</v>
      </c>
      <c r="L38" s="306" t="s">
        <v>177</v>
      </c>
      <c r="M38" s="306" t="s">
        <v>177</v>
      </c>
      <c r="N38" s="305">
        <v>11.664999999999999</v>
      </c>
      <c r="O38" s="307">
        <v>4.197132701421801E-3</v>
      </c>
      <c r="P38" s="289" t="s">
        <v>302</v>
      </c>
      <c r="Q38" s="288" t="s">
        <v>299</v>
      </c>
      <c r="R38" s="302">
        <v>2.2755265402843606E-2</v>
      </c>
      <c r="S38" s="302">
        <v>6.690456398104265E-2</v>
      </c>
      <c r="T38" s="302">
        <v>11.664999999999999</v>
      </c>
      <c r="U38" s="302">
        <v>4.197132701421801E-3</v>
      </c>
      <c r="V38" s="17"/>
      <c r="W38" s="18"/>
      <c r="X38" s="19"/>
      <c r="Y38" s="20"/>
      <c r="Z38" s="20"/>
      <c r="AA38" s="21"/>
      <c r="AB38" s="22"/>
      <c r="AH38" s="27"/>
      <c r="AI38" s="27"/>
      <c r="AN38" s="58"/>
      <c r="AO38" s="58"/>
      <c r="AP38" s="58"/>
    </row>
    <row r="39" spans="1:42">
      <c r="A39" s="290">
        <v>55</v>
      </c>
      <c r="B39" s="288" t="s">
        <v>303</v>
      </c>
      <c r="C39" s="288" t="s">
        <v>284</v>
      </c>
      <c r="D39" s="313" t="s">
        <v>284</v>
      </c>
      <c r="E39" s="288" t="s">
        <v>285</v>
      </c>
      <c r="F39" s="288" t="s">
        <v>304</v>
      </c>
      <c r="G39" s="288" t="s">
        <v>305</v>
      </c>
      <c r="H39" s="288"/>
      <c r="I39" s="304">
        <v>1.5483515402843602E-2</v>
      </c>
      <c r="J39" s="305">
        <v>4.5524313981042654E-2</v>
      </c>
      <c r="K39" s="305">
        <v>3.0351086374407588E-4</v>
      </c>
      <c r="L39" s="306" t="s">
        <v>177</v>
      </c>
      <c r="M39" s="306" t="s">
        <v>177</v>
      </c>
      <c r="N39" s="305">
        <v>7.9370000000000003</v>
      </c>
      <c r="O39" s="307">
        <v>2.8558827014218014E-3</v>
      </c>
      <c r="P39" s="288" t="s">
        <v>306</v>
      </c>
      <c r="Q39" s="288" t="s">
        <v>303</v>
      </c>
      <c r="R39" s="302">
        <v>1.5483515402843602E-2</v>
      </c>
      <c r="S39" s="302">
        <v>4.5524313981042654E-2</v>
      </c>
      <c r="T39" s="302">
        <v>7.9370000000000003</v>
      </c>
      <c r="U39" s="302">
        <v>2.8558827014218014E-3</v>
      </c>
      <c r="V39" s="17"/>
      <c r="W39" s="18"/>
      <c r="X39" s="19"/>
      <c r="Y39" s="20"/>
      <c r="Z39" s="20"/>
      <c r="AA39" s="21"/>
      <c r="AB39" s="22"/>
      <c r="AH39" s="27"/>
      <c r="AN39" s="58"/>
      <c r="AO39" s="58"/>
      <c r="AP39" s="58"/>
    </row>
    <row r="40" spans="1:42">
      <c r="A40" s="288">
        <v>56</v>
      </c>
      <c r="B40" s="288" t="s">
        <v>307</v>
      </c>
      <c r="C40" s="288" t="s">
        <v>284</v>
      </c>
      <c r="D40" s="313" t="s">
        <v>284</v>
      </c>
      <c r="E40" s="288" t="s">
        <v>285</v>
      </c>
      <c r="F40" s="288" t="s">
        <v>308</v>
      </c>
      <c r="G40" s="288" t="s">
        <v>309</v>
      </c>
      <c r="H40" s="288"/>
      <c r="I40" s="304">
        <v>1.7908303554502368E-2</v>
      </c>
      <c r="J40" s="305">
        <v>5.2653626303317533E-2</v>
      </c>
      <c r="K40" s="305">
        <v>3.5104203009478677E-4</v>
      </c>
      <c r="L40" s="306" t="s">
        <v>177</v>
      </c>
      <c r="M40" s="306" t="s">
        <v>177</v>
      </c>
      <c r="N40" s="305">
        <v>9.18</v>
      </c>
      <c r="O40" s="307">
        <v>3.3031267772511848E-3</v>
      </c>
      <c r="P40" s="289" t="s">
        <v>310</v>
      </c>
      <c r="Q40" s="288" t="s">
        <v>307</v>
      </c>
      <c r="R40" s="302">
        <v>1.7908303554502368E-2</v>
      </c>
      <c r="S40" s="302">
        <v>5.2653626303317533E-2</v>
      </c>
      <c r="T40" s="302">
        <v>9.18</v>
      </c>
      <c r="U40" s="302">
        <v>3.3031267772511848E-3</v>
      </c>
      <c r="V40" s="17"/>
      <c r="W40" s="18"/>
      <c r="X40" s="19"/>
      <c r="Y40" s="20"/>
      <c r="Z40" s="20"/>
      <c r="AA40" s="21"/>
      <c r="AB40" s="22"/>
      <c r="AH40" s="27"/>
      <c r="AN40" s="58"/>
      <c r="AO40" s="58"/>
      <c r="AP40" s="58"/>
    </row>
    <row r="41" spans="1:42">
      <c r="A41" s="288">
        <v>58</v>
      </c>
      <c r="B41" s="288" t="s">
        <v>311</v>
      </c>
      <c r="C41" s="288" t="s">
        <v>284</v>
      </c>
      <c r="D41" s="313" t="s">
        <v>284</v>
      </c>
      <c r="E41" s="288" t="s">
        <v>285</v>
      </c>
      <c r="F41" s="288" t="s">
        <v>312</v>
      </c>
      <c r="G41" s="289" t="s">
        <v>313</v>
      </c>
      <c r="H41" s="289"/>
      <c r="I41" s="304">
        <v>4.9087580568720375E-3</v>
      </c>
      <c r="J41" s="305">
        <v>1.4432629620853081E-2</v>
      </c>
      <c r="K41" s="305">
        <v>9.6222424881516595E-5</v>
      </c>
      <c r="L41" s="306" t="s">
        <v>177</v>
      </c>
      <c r="M41" s="306" t="s">
        <v>177</v>
      </c>
      <c r="N41" s="305">
        <v>2.516</v>
      </c>
      <c r="O41" s="307">
        <v>9.0540402843601901E-4</v>
      </c>
      <c r="P41" s="289" t="s">
        <v>314</v>
      </c>
      <c r="Q41" s="288" t="s">
        <v>311</v>
      </c>
      <c r="R41" s="302">
        <v>4.9087580568720375E-3</v>
      </c>
      <c r="S41" s="302">
        <v>1.4432629620853081E-2</v>
      </c>
      <c r="T41" s="302">
        <v>2.516</v>
      </c>
      <c r="U41" s="302">
        <v>9.0540402843601901E-4</v>
      </c>
      <c r="V41" s="17"/>
      <c r="W41" s="18"/>
      <c r="X41" s="19"/>
      <c r="Y41" s="20"/>
      <c r="Z41" s="20"/>
      <c r="AA41" s="21"/>
      <c r="AB41" s="22"/>
      <c r="AH41" s="27"/>
      <c r="AN41" s="58"/>
      <c r="AO41" s="58"/>
      <c r="AP41" s="58"/>
    </row>
    <row r="42" spans="1:42">
      <c r="A42" s="290">
        <v>59</v>
      </c>
      <c r="B42" s="288" t="s">
        <v>315</v>
      </c>
      <c r="C42" s="288" t="s">
        <v>284</v>
      </c>
      <c r="D42" s="313" t="s">
        <v>284</v>
      </c>
      <c r="E42" s="288" t="s">
        <v>285</v>
      </c>
      <c r="F42" s="288" t="s">
        <v>316</v>
      </c>
      <c r="G42" s="289" t="s">
        <v>317</v>
      </c>
      <c r="H42" s="289"/>
      <c r="I42" s="304">
        <v>5.2598080568720387E-3</v>
      </c>
      <c r="J42" s="305">
        <v>1.5464779620853082E-2</v>
      </c>
      <c r="K42" s="305">
        <v>1.0310377488151661E-4</v>
      </c>
      <c r="L42" s="306" t="s">
        <v>177</v>
      </c>
      <c r="M42" s="306" t="s">
        <v>177</v>
      </c>
      <c r="N42" s="305">
        <v>2.6960000000000002</v>
      </c>
      <c r="O42" s="307">
        <v>9.7015402843601893E-4</v>
      </c>
      <c r="P42" s="289" t="s">
        <v>318</v>
      </c>
      <c r="Q42" s="288" t="s">
        <v>315</v>
      </c>
      <c r="R42" s="302">
        <v>5.2598080568720387E-3</v>
      </c>
      <c r="S42" s="302">
        <v>1.5464779620853082E-2</v>
      </c>
      <c r="T42" s="302">
        <v>2.6960000000000002</v>
      </c>
      <c r="U42" s="302">
        <v>9.7015402843601893E-4</v>
      </c>
      <c r="V42" s="17"/>
      <c r="W42" s="18"/>
      <c r="X42" s="19"/>
      <c r="Y42" s="20"/>
      <c r="Z42" s="20"/>
      <c r="AA42" s="21"/>
      <c r="AB42" s="22"/>
      <c r="AH42" s="27"/>
      <c r="AN42" s="58"/>
      <c r="AO42" s="58"/>
      <c r="AP42" s="58"/>
    </row>
    <row r="43" spans="1:42">
      <c r="A43" s="290">
        <v>61</v>
      </c>
      <c r="B43" s="288" t="s">
        <v>319</v>
      </c>
      <c r="C43" s="288" t="s">
        <v>284</v>
      </c>
      <c r="D43" s="313" t="s">
        <v>284</v>
      </c>
      <c r="E43" s="288" t="s">
        <v>285</v>
      </c>
      <c r="F43" s="288" t="s">
        <v>320</v>
      </c>
      <c r="G43" s="289" t="s">
        <v>321</v>
      </c>
      <c r="H43" s="289"/>
      <c r="I43" s="304">
        <v>3.9416473933649287E-3</v>
      </c>
      <c r="J43" s="305">
        <v>1.1589150710900475E-2</v>
      </c>
      <c r="K43" s="305">
        <v>7.7264934597156404E-5</v>
      </c>
      <c r="L43" s="306" t="s">
        <v>177</v>
      </c>
      <c r="M43" s="306" t="s">
        <v>177</v>
      </c>
      <c r="N43" s="305">
        <v>2.0209999999999999</v>
      </c>
      <c r="O43" s="307">
        <v>7.2702369668246447E-4</v>
      </c>
      <c r="P43" s="289" t="s">
        <v>322</v>
      </c>
      <c r="Q43" s="288" t="s">
        <v>319</v>
      </c>
      <c r="R43" s="302">
        <v>3.9416473933649287E-3</v>
      </c>
      <c r="S43" s="302">
        <v>1.1589150710900475E-2</v>
      </c>
      <c r="T43" s="302">
        <v>2.0209999999999999</v>
      </c>
      <c r="U43" s="302">
        <v>7.2702369668246447E-4</v>
      </c>
      <c r="V43" s="17"/>
      <c r="W43" s="18"/>
      <c r="X43" s="19"/>
      <c r="Y43" s="20"/>
      <c r="Z43" s="20"/>
      <c r="AA43" s="21"/>
      <c r="AB43" s="22"/>
      <c r="AH43" s="27"/>
      <c r="AI43" s="27"/>
      <c r="AN43" s="58"/>
      <c r="AO43" s="58"/>
      <c r="AP43" s="58"/>
    </row>
    <row r="44" spans="1:42">
      <c r="A44" s="288">
        <v>62</v>
      </c>
      <c r="B44" s="288" t="s">
        <v>323</v>
      </c>
      <c r="C44" s="288" t="s">
        <v>284</v>
      </c>
      <c r="D44" s="313" t="s">
        <v>284</v>
      </c>
      <c r="E44" s="288" t="s">
        <v>285</v>
      </c>
      <c r="F44" s="288" t="s">
        <v>323</v>
      </c>
      <c r="G44" s="288" t="s">
        <v>324</v>
      </c>
      <c r="H44" s="288"/>
      <c r="I44" s="304">
        <v>6.0179999999999999E-3</v>
      </c>
      <c r="J44" s="314">
        <v>1.7694000000000001E-2</v>
      </c>
      <c r="K44" s="305">
        <v>1.17966E-4</v>
      </c>
      <c r="L44" s="306" t="s">
        <v>177</v>
      </c>
      <c r="M44" s="306" t="s">
        <v>177</v>
      </c>
      <c r="N44" s="305">
        <v>3.085</v>
      </c>
      <c r="O44" s="307">
        <v>1.1100000000000001E-3</v>
      </c>
      <c r="P44" s="289" t="s">
        <v>325</v>
      </c>
      <c r="Q44" s="288" t="s">
        <v>323</v>
      </c>
      <c r="R44" s="302">
        <v>6.0179999999999999E-3</v>
      </c>
      <c r="S44" s="302">
        <v>1.7694000000000001E-2</v>
      </c>
      <c r="T44" s="302">
        <v>3.085</v>
      </c>
      <c r="U44" s="302">
        <v>1.1100000000000001E-3</v>
      </c>
      <c r="V44" s="17"/>
      <c r="W44" s="18"/>
      <c r="X44" s="19"/>
      <c r="Y44" s="20"/>
      <c r="Z44" s="20"/>
      <c r="AA44" s="21"/>
      <c r="AB44" s="22"/>
      <c r="AH44" s="27"/>
      <c r="AI44" s="27"/>
      <c r="AN44" s="58"/>
      <c r="AO44" s="58"/>
      <c r="AP44" s="58"/>
    </row>
    <row r="45" spans="1:42">
      <c r="A45" s="288">
        <v>63</v>
      </c>
      <c r="B45" s="288" t="s">
        <v>326</v>
      </c>
      <c r="C45" s="288" t="s">
        <v>284</v>
      </c>
      <c r="D45" s="313" t="s">
        <v>284</v>
      </c>
      <c r="E45" s="288" t="s">
        <v>285</v>
      </c>
      <c r="F45" s="288" t="s">
        <v>326</v>
      </c>
      <c r="G45" s="288" t="s">
        <v>327</v>
      </c>
      <c r="H45" s="288"/>
      <c r="I45" s="304">
        <v>1.42078990521327E-2</v>
      </c>
      <c r="J45" s="305">
        <v>4.1773772985781985E-2</v>
      </c>
      <c r="K45" s="305">
        <v>2.785059853080569E-4</v>
      </c>
      <c r="L45" s="306" t="s">
        <v>177</v>
      </c>
      <c r="M45" s="306" t="s">
        <v>177</v>
      </c>
      <c r="N45" s="305">
        <v>7.2830000000000004</v>
      </c>
      <c r="O45" s="307">
        <v>2.6205995260663506E-3</v>
      </c>
      <c r="P45" s="289" t="s">
        <v>328</v>
      </c>
      <c r="Q45" s="288" t="s">
        <v>326</v>
      </c>
      <c r="R45" s="302">
        <v>1.42078990521327E-2</v>
      </c>
      <c r="S45" s="302">
        <v>4.1773772985781985E-2</v>
      </c>
      <c r="T45" s="302">
        <v>7.2830000000000004</v>
      </c>
      <c r="U45" s="302">
        <v>2.6205995260663506E-3</v>
      </c>
      <c r="V45" s="17"/>
      <c r="W45" s="18"/>
      <c r="X45" s="19"/>
      <c r="Y45" s="20"/>
      <c r="Z45" s="20"/>
      <c r="AA45" s="21"/>
      <c r="AB45" s="22"/>
      <c r="AH45" s="27"/>
      <c r="AI45" s="27"/>
      <c r="AN45" s="58"/>
      <c r="AO45" s="58"/>
      <c r="AP45" s="58"/>
    </row>
    <row r="46" spans="1:42">
      <c r="A46" s="290">
        <v>65</v>
      </c>
      <c r="B46" s="288" t="s">
        <v>329</v>
      </c>
      <c r="C46" s="288" t="s">
        <v>284</v>
      </c>
      <c r="D46" s="313" t="s">
        <v>284</v>
      </c>
      <c r="E46" s="288" t="s">
        <v>285</v>
      </c>
      <c r="F46" s="288" t="s">
        <v>330</v>
      </c>
      <c r="G46" s="288" t="s">
        <v>331</v>
      </c>
      <c r="H46" s="288"/>
      <c r="I46" s="304">
        <v>3.0177940758293843E-3</v>
      </c>
      <c r="J46" s="305">
        <v>8.8728561611374421E-3</v>
      </c>
      <c r="K46" s="305">
        <v>5.9155383175355464E-5</v>
      </c>
      <c r="L46" s="306" t="s">
        <v>177</v>
      </c>
      <c r="M46" s="306" t="s">
        <v>177</v>
      </c>
      <c r="N46" s="305">
        <v>1.5469999999999999</v>
      </c>
      <c r="O46" s="307">
        <v>5.56622037914692E-4</v>
      </c>
      <c r="P46" s="289" t="s">
        <v>332</v>
      </c>
      <c r="Q46" s="288" t="s">
        <v>329</v>
      </c>
      <c r="R46" s="302">
        <v>3.0177940758293843E-3</v>
      </c>
      <c r="S46" s="302">
        <v>8.8728561611374421E-3</v>
      </c>
      <c r="T46" s="302">
        <v>1.5469999999999999</v>
      </c>
      <c r="U46" s="302">
        <v>5.56622037914692E-4</v>
      </c>
      <c r="V46" s="17"/>
      <c r="W46" s="18"/>
      <c r="X46" s="19"/>
      <c r="Y46" s="20"/>
      <c r="Z46" s="20"/>
      <c r="AA46" s="21"/>
      <c r="AB46" s="22"/>
      <c r="AD46" s="27"/>
      <c r="AE46" s="27"/>
      <c r="AF46" s="27"/>
      <c r="AG46" s="27"/>
      <c r="AH46" s="27"/>
      <c r="AI46" s="27"/>
      <c r="AN46" s="58"/>
      <c r="AO46" s="58"/>
      <c r="AP46" s="58"/>
    </row>
    <row r="47" spans="1:42">
      <c r="A47" s="288">
        <v>66</v>
      </c>
      <c r="B47" s="288" t="s">
        <v>333</v>
      </c>
      <c r="C47" s="288" t="s">
        <v>284</v>
      </c>
      <c r="D47" s="313" t="s">
        <v>284</v>
      </c>
      <c r="E47" s="288" t="s">
        <v>285</v>
      </c>
      <c r="F47" s="288" t="s">
        <v>333</v>
      </c>
      <c r="G47" s="288" t="s">
        <v>334</v>
      </c>
      <c r="H47" s="288"/>
      <c r="I47" s="304">
        <v>5.688340995260663E-3</v>
      </c>
      <c r="J47" s="305">
        <v>1.672474336492891E-2</v>
      </c>
      <c r="K47" s="305">
        <v>1.1150396042654029E-4</v>
      </c>
      <c r="L47" s="306" t="s">
        <v>177</v>
      </c>
      <c r="M47" s="306" t="s">
        <v>177</v>
      </c>
      <c r="N47" s="305">
        <v>2.9159999999999999</v>
      </c>
      <c r="O47" s="307">
        <v>1.0491954976303319E-3</v>
      </c>
      <c r="P47" s="289" t="s">
        <v>335</v>
      </c>
      <c r="Q47" s="288" t="s">
        <v>333</v>
      </c>
      <c r="R47" s="302">
        <v>5.688340995260663E-3</v>
      </c>
      <c r="S47" s="302">
        <v>1.672474336492891E-2</v>
      </c>
      <c r="T47" s="302">
        <v>2.9159999999999999</v>
      </c>
      <c r="U47" s="302">
        <v>1.0491954976303319E-3</v>
      </c>
      <c r="V47" s="17"/>
      <c r="W47" s="18"/>
      <c r="X47" s="19"/>
      <c r="Y47" s="20"/>
      <c r="Z47" s="20"/>
      <c r="AA47" s="21"/>
      <c r="AB47" s="22"/>
      <c r="AC47" s="70"/>
      <c r="AD47" s="71"/>
      <c r="AE47" s="71"/>
      <c r="AF47" s="71"/>
      <c r="AG47" s="71"/>
      <c r="AH47" s="27"/>
      <c r="AI47" s="27"/>
      <c r="AN47" s="58"/>
      <c r="AO47" s="58"/>
      <c r="AP47" s="58"/>
    </row>
    <row r="48" spans="1:42">
      <c r="A48" s="288">
        <v>67</v>
      </c>
      <c r="B48" s="289" t="s">
        <v>336</v>
      </c>
      <c r="C48" s="288" t="s">
        <v>284</v>
      </c>
      <c r="D48" s="313" t="s">
        <v>284</v>
      </c>
      <c r="E48" s="288"/>
      <c r="F48" s="288"/>
      <c r="G48" s="288"/>
      <c r="H48" s="288"/>
      <c r="I48" s="304"/>
      <c r="J48" s="305"/>
      <c r="K48" s="305"/>
      <c r="L48" s="306"/>
      <c r="M48" s="306"/>
      <c r="N48" s="305"/>
      <c r="O48" s="307"/>
      <c r="P48" s="289" t="s">
        <v>337</v>
      </c>
      <c r="Q48" s="289" t="s">
        <v>336</v>
      </c>
      <c r="R48" s="302">
        <v>6.1183000000000001E-3</v>
      </c>
      <c r="S48" s="302">
        <v>1.7988899999999999E-2</v>
      </c>
      <c r="T48" s="302">
        <v>3.1364166666666665E-2</v>
      </c>
      <c r="U48" s="302">
        <v>1.1284999999999999E-3</v>
      </c>
      <c r="V48" s="17"/>
      <c r="W48" s="18"/>
      <c r="X48" s="19"/>
      <c r="Y48" s="20"/>
      <c r="Z48" s="20"/>
      <c r="AA48" s="21"/>
      <c r="AB48" s="22"/>
      <c r="AC48" s="70"/>
      <c r="AD48" s="71"/>
      <c r="AE48" s="71"/>
      <c r="AF48" s="71"/>
      <c r="AG48" s="71"/>
      <c r="AH48" s="27"/>
      <c r="AI48" s="27"/>
      <c r="AN48" s="58"/>
      <c r="AO48" s="58"/>
      <c r="AP48" s="58"/>
    </row>
    <row r="49" spans="1:42">
      <c r="A49" s="288">
        <v>68</v>
      </c>
      <c r="B49" s="289" t="s">
        <v>338</v>
      </c>
      <c r="C49" s="288" t="s">
        <v>284</v>
      </c>
      <c r="D49" s="313" t="s">
        <v>284</v>
      </c>
      <c r="E49" s="288"/>
      <c r="F49" s="288"/>
      <c r="G49" s="288"/>
      <c r="H49" s="288"/>
      <c r="I49" s="304"/>
      <c r="J49" s="305"/>
      <c r="K49" s="305"/>
      <c r="L49" s="306"/>
      <c r="M49" s="306"/>
      <c r="N49" s="305"/>
      <c r="O49" s="307"/>
      <c r="P49" s="289" t="s">
        <v>339</v>
      </c>
      <c r="Q49" s="289" t="s">
        <v>338</v>
      </c>
      <c r="R49" s="302">
        <v>2.1464199999999999E-2</v>
      </c>
      <c r="S49" s="302">
        <v>6.3108600000000015E-2</v>
      </c>
      <c r="T49" s="302">
        <v>0.11003166666666667</v>
      </c>
      <c r="U49" s="302">
        <v>3.9590000000000007E-3</v>
      </c>
      <c r="V49" s="17"/>
      <c r="W49" s="18"/>
      <c r="X49" s="19"/>
      <c r="Y49" s="20"/>
      <c r="Z49" s="20"/>
      <c r="AA49" s="21"/>
      <c r="AB49" s="22"/>
      <c r="AD49" s="27"/>
      <c r="AE49" s="27"/>
      <c r="AF49" s="27"/>
      <c r="AG49" s="27"/>
      <c r="AH49" s="27"/>
      <c r="AI49" s="27"/>
      <c r="AN49" s="58"/>
      <c r="AO49" s="58"/>
      <c r="AP49" s="58"/>
    </row>
    <row r="50" spans="1:42">
      <c r="A50" s="290">
        <v>69</v>
      </c>
      <c r="B50" s="288" t="s">
        <v>340</v>
      </c>
      <c r="C50" s="288" t="s">
        <v>284</v>
      </c>
      <c r="D50" s="313" t="s">
        <v>284</v>
      </c>
      <c r="E50" s="288"/>
      <c r="F50" s="288"/>
      <c r="G50" s="288"/>
      <c r="H50" s="288"/>
      <c r="I50" s="304"/>
      <c r="J50" s="305"/>
      <c r="K50" s="305"/>
      <c r="L50" s="306"/>
      <c r="M50" s="306"/>
      <c r="N50" s="305"/>
      <c r="O50" s="307"/>
      <c r="P50" s="289" t="s">
        <v>341</v>
      </c>
      <c r="Q50" s="288" t="s">
        <v>340</v>
      </c>
      <c r="R50" s="302">
        <v>4.0621499999999998E-2</v>
      </c>
      <c r="S50" s="302">
        <v>0.1194345</v>
      </c>
      <c r="T50" s="302">
        <v>0.20823749999999999</v>
      </c>
      <c r="U50" s="302">
        <v>7.4925E-3</v>
      </c>
      <c r="V50" s="17"/>
      <c r="W50" s="18"/>
      <c r="X50" s="19"/>
      <c r="Y50" s="20"/>
      <c r="Z50" s="20"/>
      <c r="AA50" s="21"/>
      <c r="AB50" s="22"/>
      <c r="AC50" s="2"/>
      <c r="AD50" s="72"/>
      <c r="AE50" s="72"/>
      <c r="AF50" s="72"/>
      <c r="AG50" s="72"/>
      <c r="AH50" s="27"/>
      <c r="AI50" s="27"/>
      <c r="AN50" s="58"/>
      <c r="AO50" s="58"/>
      <c r="AP50" s="58"/>
    </row>
    <row r="51" spans="1:42">
      <c r="A51" s="288">
        <v>70</v>
      </c>
      <c r="B51" s="288" t="s">
        <v>342</v>
      </c>
      <c r="C51" s="288" t="s">
        <v>284</v>
      </c>
      <c r="D51" s="313" t="s">
        <v>284</v>
      </c>
      <c r="E51" s="288"/>
      <c r="F51" s="288"/>
      <c r="G51" s="288"/>
      <c r="H51" s="288"/>
      <c r="I51" s="304"/>
      <c r="J51" s="305"/>
      <c r="K51" s="305"/>
      <c r="L51" s="306"/>
      <c r="M51" s="306"/>
      <c r="N51" s="305"/>
      <c r="O51" s="307"/>
      <c r="P51" s="289" t="s">
        <v>343</v>
      </c>
      <c r="Q51" s="288" t="s">
        <v>342</v>
      </c>
      <c r="R51" s="302">
        <v>1.3841399999999998E-2</v>
      </c>
      <c r="S51" s="302">
        <v>4.0696199999999995E-2</v>
      </c>
      <c r="T51" s="302">
        <v>7.095499999999999E-2</v>
      </c>
      <c r="U51" s="302">
        <v>2.5529999999999997E-3</v>
      </c>
      <c r="V51" s="17"/>
      <c r="W51" s="18"/>
      <c r="X51" s="19"/>
      <c r="Y51" s="20"/>
      <c r="Z51" s="20"/>
      <c r="AA51" s="21"/>
      <c r="AB51" s="22"/>
      <c r="AC51" s="2"/>
      <c r="AD51" s="72"/>
      <c r="AE51" s="72"/>
      <c r="AF51" s="72"/>
      <c r="AG51" s="72"/>
      <c r="AH51" s="27"/>
      <c r="AI51" s="27"/>
      <c r="AN51" s="58"/>
      <c r="AO51" s="58"/>
      <c r="AP51" s="58"/>
    </row>
    <row r="52" spans="1:42">
      <c r="A52" s="290">
        <v>71</v>
      </c>
      <c r="B52" s="288" t="s">
        <v>344</v>
      </c>
      <c r="C52" s="288" t="s">
        <v>284</v>
      </c>
      <c r="D52" s="313" t="s">
        <v>284</v>
      </c>
      <c r="E52" s="288"/>
      <c r="F52" s="288"/>
      <c r="G52" s="288"/>
      <c r="H52" s="288"/>
      <c r="I52" s="304"/>
      <c r="J52" s="305"/>
      <c r="K52" s="305"/>
      <c r="L52" s="306"/>
      <c r="M52" s="306"/>
      <c r="N52" s="305"/>
      <c r="O52" s="307"/>
      <c r="P52" s="289" t="s">
        <v>345</v>
      </c>
      <c r="Q52" s="288" t="s">
        <v>344</v>
      </c>
      <c r="R52" s="302">
        <v>1.5044999999999999E-2</v>
      </c>
      <c r="S52" s="302">
        <v>4.4235000000000003E-2</v>
      </c>
      <c r="T52" s="302">
        <v>7.7124999999999999E-2</v>
      </c>
      <c r="U52" s="302">
        <v>2.7750000000000001E-3</v>
      </c>
      <c r="V52" s="17"/>
      <c r="W52" s="18"/>
      <c r="X52" s="19"/>
      <c r="Y52" s="20"/>
      <c r="Z52" s="20"/>
      <c r="AA52" s="21"/>
      <c r="AB52" s="22"/>
      <c r="AC52" s="2"/>
      <c r="AD52" s="72"/>
      <c r="AE52" s="72"/>
      <c r="AF52" s="72"/>
      <c r="AG52" s="72"/>
      <c r="AH52" s="27"/>
      <c r="AI52" s="27"/>
      <c r="AN52" s="58"/>
      <c r="AO52" s="58"/>
      <c r="AP52" s="58"/>
    </row>
    <row r="53" spans="1:42">
      <c r="A53" s="288">
        <v>46</v>
      </c>
      <c r="B53" s="288" t="s">
        <v>346</v>
      </c>
      <c r="C53" s="289" t="s">
        <v>284</v>
      </c>
      <c r="D53" s="313" t="s">
        <v>1620</v>
      </c>
      <c r="E53" s="288" t="s">
        <v>285</v>
      </c>
      <c r="F53" s="288" t="s">
        <v>346</v>
      </c>
      <c r="G53" s="288" t="s">
        <v>347</v>
      </c>
      <c r="H53" s="288"/>
      <c r="I53" s="304">
        <v>5.5280749052132698E-2</v>
      </c>
      <c r="J53" s="305">
        <v>0.16253532298578199</v>
      </c>
      <c r="K53" s="305">
        <v>1.0836239353080568E-3</v>
      </c>
      <c r="L53" s="306" t="s">
        <v>177</v>
      </c>
      <c r="M53" s="306" t="s">
        <v>177</v>
      </c>
      <c r="N53" s="305">
        <v>28.338999999999999</v>
      </c>
      <c r="O53" s="307">
        <v>1.0196349526066351E-2</v>
      </c>
      <c r="P53" s="289" t="s">
        <v>348</v>
      </c>
      <c r="Q53" s="288" t="s">
        <v>346</v>
      </c>
      <c r="R53" s="302">
        <v>5.5280749052132698E-2</v>
      </c>
      <c r="S53" s="302">
        <v>0.16253532298578199</v>
      </c>
      <c r="T53" s="302">
        <v>28.338999999999999</v>
      </c>
      <c r="U53" s="302">
        <v>1.0196349526066351E-2</v>
      </c>
      <c r="V53" s="17"/>
      <c r="W53" s="18"/>
      <c r="X53" s="19"/>
      <c r="Y53" s="20"/>
      <c r="Z53" s="20"/>
      <c r="AA53" s="21"/>
      <c r="AB53" s="22"/>
      <c r="AC53" s="2"/>
      <c r="AD53" s="72"/>
      <c r="AE53" s="72"/>
      <c r="AF53" s="72"/>
      <c r="AG53" s="72"/>
      <c r="AH53" s="27"/>
      <c r="AI53" s="27"/>
      <c r="AN53" s="58"/>
      <c r="AO53" s="58"/>
      <c r="AP53" s="58"/>
    </row>
    <row r="54" spans="1:42">
      <c r="A54" s="288">
        <v>48</v>
      </c>
      <c r="B54" s="288" t="s">
        <v>349</v>
      </c>
      <c r="C54" s="288" t="s">
        <v>284</v>
      </c>
      <c r="D54" s="313" t="s">
        <v>1620</v>
      </c>
      <c r="E54" s="288" t="s">
        <v>285</v>
      </c>
      <c r="F54" s="288" t="s">
        <v>349</v>
      </c>
      <c r="G54" s="288" t="s">
        <v>1007</v>
      </c>
      <c r="H54" s="288"/>
      <c r="I54" s="304">
        <v>4.8143999999999999E-2</v>
      </c>
      <c r="J54" s="305">
        <v>0.14155200000000001</v>
      </c>
      <c r="K54" s="305">
        <v>9.4372800000000001E-4</v>
      </c>
      <c r="L54" s="306" t="s">
        <v>177</v>
      </c>
      <c r="M54" s="306" t="s">
        <v>177</v>
      </c>
      <c r="N54" s="305">
        <v>24.68</v>
      </c>
      <c r="O54" s="307">
        <v>8.8800000000000007E-3</v>
      </c>
      <c r="P54" s="288" t="s">
        <v>350</v>
      </c>
      <c r="Q54" s="288" t="s">
        <v>349</v>
      </c>
      <c r="R54" s="302">
        <v>4.8143999999999999E-2</v>
      </c>
      <c r="S54" s="302">
        <v>0.14155200000000001</v>
      </c>
      <c r="T54" s="302">
        <v>24.68</v>
      </c>
      <c r="U54" s="302">
        <v>8.8800000000000007E-3</v>
      </c>
      <c r="V54" s="17"/>
      <c r="W54" s="18"/>
      <c r="X54" s="19"/>
      <c r="Y54" s="20"/>
      <c r="Z54" s="20"/>
      <c r="AA54" s="21"/>
      <c r="AB54" s="22"/>
      <c r="AC54" s="2"/>
      <c r="AD54" s="72"/>
      <c r="AE54" s="72"/>
      <c r="AF54" s="72"/>
      <c r="AG54" s="72"/>
      <c r="AH54" s="27"/>
      <c r="AI54" s="27"/>
      <c r="AN54" s="58"/>
      <c r="AO54" s="58"/>
      <c r="AP54" s="58"/>
    </row>
    <row r="55" spans="1:42">
      <c r="A55" s="290">
        <v>49</v>
      </c>
      <c r="B55" s="288" t="s">
        <v>351</v>
      </c>
      <c r="C55" s="288" t="s">
        <v>284</v>
      </c>
      <c r="D55" s="313" t="s">
        <v>1620</v>
      </c>
      <c r="E55" s="288" t="s">
        <v>285</v>
      </c>
      <c r="F55" s="288" t="s">
        <v>351</v>
      </c>
      <c r="G55" s="289" t="s">
        <v>352</v>
      </c>
      <c r="H55" s="289"/>
      <c r="I55" s="304">
        <v>4.2126000000000004E-2</v>
      </c>
      <c r="J55" s="305">
        <v>0.123858</v>
      </c>
      <c r="K55" s="305">
        <v>8.2576200000000007E-4</v>
      </c>
      <c r="L55" s="306" t="s">
        <v>177</v>
      </c>
      <c r="M55" s="306" t="s">
        <v>177</v>
      </c>
      <c r="N55" s="305">
        <v>21.594999999999999</v>
      </c>
      <c r="O55" s="307">
        <v>7.77E-3</v>
      </c>
      <c r="P55" s="288" t="s">
        <v>353</v>
      </c>
      <c r="Q55" s="288" t="s">
        <v>351</v>
      </c>
      <c r="R55" s="302">
        <v>4.2126000000000004E-2</v>
      </c>
      <c r="S55" s="302">
        <v>0.123858</v>
      </c>
      <c r="T55" s="302">
        <v>21.594999999999999</v>
      </c>
      <c r="U55" s="302">
        <v>7.77E-3</v>
      </c>
      <c r="V55" s="17"/>
      <c r="W55" s="18"/>
      <c r="X55" s="19"/>
      <c r="Y55" s="20"/>
      <c r="Z55" s="20"/>
      <c r="AA55" s="21"/>
      <c r="AB55" s="22"/>
      <c r="AC55" s="2"/>
      <c r="AD55" s="72"/>
      <c r="AE55" s="72"/>
      <c r="AF55" s="72"/>
      <c r="AG55" s="72"/>
      <c r="AH55" s="27"/>
      <c r="AI55" s="27"/>
      <c r="AN55" s="58"/>
      <c r="AO55" s="58"/>
      <c r="AP55" s="58"/>
    </row>
    <row r="56" spans="1:42">
      <c r="A56" s="288">
        <v>60</v>
      </c>
      <c r="B56" s="288" t="s">
        <v>354</v>
      </c>
      <c r="C56" s="288" t="s">
        <v>284</v>
      </c>
      <c r="D56" s="313" t="s">
        <v>1620</v>
      </c>
      <c r="E56" s="288" t="s">
        <v>285</v>
      </c>
      <c r="F56" s="288" t="s">
        <v>355</v>
      </c>
      <c r="G56" s="288" t="s">
        <v>356</v>
      </c>
      <c r="H56" s="288"/>
      <c r="I56" s="304">
        <v>4.1127278199052132E-2</v>
      </c>
      <c r="J56" s="305">
        <v>0.12092157867298578</v>
      </c>
      <c r="K56" s="305">
        <v>8.0618486208530824E-4</v>
      </c>
      <c r="L56" s="306" t="s">
        <v>177</v>
      </c>
      <c r="M56" s="306" t="s">
        <v>177</v>
      </c>
      <c r="N56" s="305">
        <v>21.082999999999998</v>
      </c>
      <c r="O56" s="307">
        <v>7.5857890995260661E-3</v>
      </c>
      <c r="P56" s="289" t="s">
        <v>357</v>
      </c>
      <c r="Q56" s="288" t="s">
        <v>354</v>
      </c>
      <c r="R56" s="302">
        <v>4.1127278199052132E-2</v>
      </c>
      <c r="S56" s="302">
        <v>0.12092157867298578</v>
      </c>
      <c r="T56" s="302">
        <v>21.082999999999998</v>
      </c>
      <c r="U56" s="302">
        <v>7.5857890995260661E-3</v>
      </c>
      <c r="V56" s="17"/>
      <c r="W56" s="18"/>
      <c r="X56" s="19"/>
      <c r="Y56" s="20"/>
      <c r="Z56" s="20"/>
      <c r="AA56" s="21"/>
      <c r="AB56" s="22"/>
      <c r="AC56" s="2"/>
      <c r="AD56" s="72"/>
      <c r="AE56" s="72"/>
      <c r="AF56" s="72"/>
      <c r="AG56" s="72"/>
      <c r="AH56" s="27"/>
      <c r="AI56" s="27"/>
      <c r="AN56" s="58"/>
      <c r="AO56" s="58"/>
      <c r="AP56" s="58"/>
    </row>
    <row r="57" spans="1:42">
      <c r="A57" s="288">
        <v>64</v>
      </c>
      <c r="B57" s="288" t="s">
        <v>358</v>
      </c>
      <c r="C57" s="288" t="s">
        <v>284</v>
      </c>
      <c r="D57" s="313" t="s">
        <v>1620</v>
      </c>
      <c r="E57" s="288" t="s">
        <v>285</v>
      </c>
      <c r="F57" s="288" t="s">
        <v>359</v>
      </c>
      <c r="G57" s="288" t="s">
        <v>360</v>
      </c>
      <c r="H57" s="288"/>
      <c r="I57" s="304">
        <v>4.0401172748815169E-2</v>
      </c>
      <c r="J57" s="305">
        <v>0.11878669834123222</v>
      </c>
      <c r="K57" s="305">
        <v>7.919516026066351E-4</v>
      </c>
      <c r="L57" s="306" t="s">
        <v>177</v>
      </c>
      <c r="M57" s="306" t="s">
        <v>177</v>
      </c>
      <c r="N57" s="305">
        <v>20.710999999999999</v>
      </c>
      <c r="O57" s="307">
        <v>7.4518613744075819E-3</v>
      </c>
      <c r="P57" s="289" t="s">
        <v>361</v>
      </c>
      <c r="Q57" s="288" t="s">
        <v>358</v>
      </c>
      <c r="R57" s="302">
        <v>4.0401172748815169E-2</v>
      </c>
      <c r="S57" s="302">
        <v>0.11878669834123222</v>
      </c>
      <c r="T57" s="302">
        <v>20.710999999999999</v>
      </c>
      <c r="U57" s="302">
        <v>7.4518613744075819E-3</v>
      </c>
      <c r="V57" s="17"/>
      <c r="W57" s="67" t="s">
        <v>192</v>
      </c>
      <c r="X57" s="19">
        <f t="shared" ref="X57:AA57" si="13">AVERAGE(R33:R57)</f>
        <v>2.0793191137648513E-2</v>
      </c>
      <c r="Y57" s="20">
        <f t="shared" si="13"/>
        <v>6.1135713524352396E-2</v>
      </c>
      <c r="Z57" s="20">
        <f t="shared" si="13"/>
        <v>8.6341785333333316</v>
      </c>
      <c r="AA57" s="21">
        <f t="shared" si="13"/>
        <v>3.8352346564954876E-3</v>
      </c>
      <c r="AB57" s="22"/>
      <c r="AC57" s="2"/>
      <c r="AD57" s="72"/>
      <c r="AE57" s="72"/>
      <c r="AF57" s="72"/>
      <c r="AG57" s="72"/>
      <c r="AH57" s="27"/>
      <c r="AI57" s="27"/>
      <c r="AN57" s="58"/>
      <c r="AO57" s="58"/>
      <c r="AP57" s="58"/>
    </row>
    <row r="58" spans="1:42">
      <c r="A58" s="288">
        <v>72</v>
      </c>
      <c r="B58" s="289" t="s">
        <v>362</v>
      </c>
      <c r="C58" s="289" t="s">
        <v>363</v>
      </c>
      <c r="D58" s="312" t="s">
        <v>363</v>
      </c>
      <c r="E58" s="288" t="s">
        <v>363</v>
      </c>
      <c r="F58" s="289" t="s">
        <v>364</v>
      </c>
      <c r="G58" s="288" t="s">
        <v>365</v>
      </c>
      <c r="H58" s="288"/>
      <c r="I58" s="304">
        <v>4.0165275294130297E-3</v>
      </c>
      <c r="J58" s="305">
        <v>3.2725331200335404E-2</v>
      </c>
      <c r="K58" s="305">
        <v>2.4399999999999999E-4</v>
      </c>
      <c r="L58" s="306">
        <v>1033</v>
      </c>
      <c r="M58" s="305">
        <f t="shared" ref="M58:M61" si="14">L58/1000</f>
        <v>1.0329999999999999</v>
      </c>
      <c r="N58" s="305">
        <f t="shared" ref="N58:N61" si="15">L58/1000</f>
        <v>1.0329999999999999</v>
      </c>
      <c r="O58" s="307">
        <v>2.0392735E-3</v>
      </c>
      <c r="P58" s="289" t="s">
        <v>362</v>
      </c>
      <c r="Q58" s="289" t="s">
        <v>362</v>
      </c>
      <c r="R58" s="302">
        <v>4.0165275294130297E-3</v>
      </c>
      <c r="S58" s="302">
        <v>3.2725331200335404E-2</v>
      </c>
      <c r="T58" s="302">
        <v>1.0329999999999999</v>
      </c>
      <c r="U58" s="302">
        <v>2.0392735E-3</v>
      </c>
      <c r="V58" s="17"/>
      <c r="W58" s="18"/>
      <c r="X58" s="19"/>
      <c r="Y58" s="20"/>
      <c r="Z58" s="20"/>
      <c r="AA58" s="21"/>
      <c r="AB58" s="22"/>
      <c r="AD58" s="27"/>
      <c r="AE58" s="27"/>
      <c r="AF58" s="27"/>
      <c r="AG58" s="27"/>
      <c r="AH58" s="27"/>
      <c r="AI58" s="27"/>
      <c r="AN58" s="58"/>
      <c r="AO58" s="58"/>
      <c r="AP58" s="58"/>
    </row>
    <row r="59" spans="1:42">
      <c r="A59" s="288">
        <v>73</v>
      </c>
      <c r="B59" s="289" t="s">
        <v>366</v>
      </c>
      <c r="C59" s="289" t="s">
        <v>363</v>
      </c>
      <c r="D59" s="312" t="s">
        <v>363</v>
      </c>
      <c r="E59" s="288" t="s">
        <v>363</v>
      </c>
      <c r="F59" s="289" t="s">
        <v>364</v>
      </c>
      <c r="G59" s="311" t="s">
        <v>1621</v>
      </c>
      <c r="H59" s="288"/>
      <c r="I59" s="304">
        <v>4.0165275294130297E-3</v>
      </c>
      <c r="J59" s="305">
        <v>3.2725331200335404E-2</v>
      </c>
      <c r="K59" s="305">
        <v>2.4399999999999999E-4</v>
      </c>
      <c r="L59" s="306">
        <v>1033</v>
      </c>
      <c r="M59" s="305">
        <f t="shared" si="14"/>
        <v>1.0329999999999999</v>
      </c>
      <c r="N59" s="305">
        <f t="shared" si="15"/>
        <v>1.0329999999999999</v>
      </c>
      <c r="O59" s="307">
        <v>2.0392735E-3</v>
      </c>
      <c r="P59" s="289" t="s">
        <v>367</v>
      </c>
      <c r="Q59" s="289" t="s">
        <v>366</v>
      </c>
      <c r="R59" s="302">
        <v>4.0165275294130297E-3</v>
      </c>
      <c r="S59" s="302">
        <v>3.2725331200335404E-2</v>
      </c>
      <c r="T59" s="302">
        <v>1.0329999999999999</v>
      </c>
      <c r="U59" s="302">
        <v>2.0392735E-3</v>
      </c>
      <c r="V59" s="17"/>
      <c r="W59" s="18"/>
      <c r="X59" s="19"/>
      <c r="Y59" s="20"/>
      <c r="Z59" s="20"/>
      <c r="AA59" s="21"/>
      <c r="AB59" s="22"/>
      <c r="AD59" s="27"/>
      <c r="AE59" s="27"/>
      <c r="AF59" s="27"/>
      <c r="AG59" s="27"/>
      <c r="AH59" s="27"/>
      <c r="AI59" s="27"/>
      <c r="AN59" s="58"/>
      <c r="AO59" s="58"/>
      <c r="AP59" s="58"/>
    </row>
    <row r="60" spans="1:42">
      <c r="A60" s="288">
        <v>74</v>
      </c>
      <c r="B60" s="289" t="s">
        <v>368</v>
      </c>
      <c r="C60" s="289" t="s">
        <v>363</v>
      </c>
      <c r="D60" s="312" t="s">
        <v>363</v>
      </c>
      <c r="E60" s="288" t="s">
        <v>363</v>
      </c>
      <c r="F60" s="289" t="s">
        <v>364</v>
      </c>
      <c r="G60" s="288" t="s">
        <v>369</v>
      </c>
      <c r="H60" s="288"/>
      <c r="I60" s="304">
        <v>4.0165275294130297E-3</v>
      </c>
      <c r="J60" s="305">
        <v>3.2725331200335404E-2</v>
      </c>
      <c r="K60" s="305">
        <v>2.4399999999999999E-4</v>
      </c>
      <c r="L60" s="306">
        <v>1033</v>
      </c>
      <c r="M60" s="305">
        <f t="shared" si="14"/>
        <v>1.0329999999999999</v>
      </c>
      <c r="N60" s="305">
        <f t="shared" si="15"/>
        <v>1.0329999999999999</v>
      </c>
      <c r="O60" s="307">
        <v>2.0392735E-3</v>
      </c>
      <c r="P60" s="289" t="s">
        <v>370</v>
      </c>
      <c r="Q60" s="289" t="s">
        <v>368</v>
      </c>
      <c r="R60" s="302">
        <v>4.0165275294130297E-3</v>
      </c>
      <c r="S60" s="302">
        <v>3.2725331200335404E-2</v>
      </c>
      <c r="T60" s="302">
        <v>1.0329999999999999</v>
      </c>
      <c r="U60" s="302">
        <v>2.0392735E-3</v>
      </c>
      <c r="V60" s="17"/>
      <c r="W60" s="18"/>
      <c r="X60" s="19"/>
      <c r="Y60" s="20"/>
      <c r="Z60" s="20"/>
      <c r="AA60" s="21"/>
      <c r="AB60" s="22"/>
      <c r="AD60" s="27"/>
      <c r="AE60" s="27"/>
      <c r="AF60" s="27"/>
      <c r="AG60" s="27"/>
      <c r="AH60" s="27"/>
      <c r="AI60" s="27"/>
      <c r="AN60" s="58"/>
      <c r="AO60" s="58"/>
      <c r="AP60" s="58"/>
    </row>
    <row r="61" spans="1:42">
      <c r="A61" s="290">
        <v>75</v>
      </c>
      <c r="B61" s="289" t="s">
        <v>371</v>
      </c>
      <c r="C61" s="289" t="s">
        <v>363</v>
      </c>
      <c r="D61" s="312" t="s">
        <v>363</v>
      </c>
      <c r="E61" s="288" t="s">
        <v>363</v>
      </c>
      <c r="F61" s="289" t="s">
        <v>364</v>
      </c>
      <c r="G61" s="288" t="s">
        <v>369</v>
      </c>
      <c r="H61" s="288"/>
      <c r="I61" s="304">
        <v>4.0165275294130297E-3</v>
      </c>
      <c r="J61" s="305">
        <v>3.2725331200335404E-2</v>
      </c>
      <c r="K61" s="305">
        <v>2.4399999999999999E-4</v>
      </c>
      <c r="L61" s="306">
        <v>1033</v>
      </c>
      <c r="M61" s="305">
        <f t="shared" si="14"/>
        <v>1.0329999999999999</v>
      </c>
      <c r="N61" s="305">
        <f t="shared" si="15"/>
        <v>1.0329999999999999</v>
      </c>
      <c r="O61" s="307">
        <v>2.0392735E-3</v>
      </c>
      <c r="P61" s="289" t="s">
        <v>372</v>
      </c>
      <c r="Q61" s="289" t="s">
        <v>371</v>
      </c>
      <c r="R61" s="302">
        <v>4.0165275294130297E-3</v>
      </c>
      <c r="S61" s="302">
        <v>3.2725331200335404E-2</v>
      </c>
      <c r="T61" s="302">
        <v>1.0329999999999999</v>
      </c>
      <c r="U61" s="302">
        <v>2.0392735E-3</v>
      </c>
      <c r="V61" s="17"/>
      <c r="W61" s="37" t="s">
        <v>195</v>
      </c>
      <c r="X61" s="19">
        <f t="shared" ref="X61:AA61" si="16">AVERAGE(R58:R61)</f>
        <v>4.0165275294130297E-3</v>
      </c>
      <c r="Y61" s="20">
        <f t="shared" si="16"/>
        <v>3.2725331200335404E-2</v>
      </c>
      <c r="Z61" s="20">
        <f t="shared" si="16"/>
        <v>1.0329999999999999</v>
      </c>
      <c r="AA61" s="21">
        <f t="shared" si="16"/>
        <v>2.0392735E-3</v>
      </c>
      <c r="AB61" s="22"/>
      <c r="AC61" s="64"/>
      <c r="AD61" s="27"/>
      <c r="AE61" s="27"/>
      <c r="AF61" s="27"/>
      <c r="AG61" s="27"/>
      <c r="AH61" s="27"/>
      <c r="AI61" s="27"/>
      <c r="AN61" s="58"/>
      <c r="AO61" s="58"/>
      <c r="AP61" s="58"/>
    </row>
    <row r="62" spans="1:42">
      <c r="A62" s="288">
        <v>213</v>
      </c>
      <c r="B62" s="288" t="s">
        <v>373</v>
      </c>
      <c r="C62" s="288" t="s">
        <v>374</v>
      </c>
      <c r="D62" s="289" t="s">
        <v>1622</v>
      </c>
      <c r="E62" s="288"/>
      <c r="F62" s="288"/>
      <c r="G62" s="288"/>
      <c r="H62" s="288"/>
      <c r="I62" s="304"/>
      <c r="J62" s="305"/>
      <c r="K62" s="305"/>
      <c r="L62" s="306"/>
      <c r="M62" s="305"/>
      <c r="N62" s="305"/>
      <c r="O62" s="307"/>
      <c r="P62" s="288" t="s">
        <v>375</v>
      </c>
      <c r="Q62" s="288" t="s">
        <v>373</v>
      </c>
      <c r="R62" s="315">
        <v>1.2121658942314767E-2</v>
      </c>
      <c r="S62" s="315">
        <v>8.0752619760956178E-4</v>
      </c>
      <c r="T62" s="315">
        <v>1.8215139442231079</v>
      </c>
      <c r="U62" s="315">
        <v>2.7807521992031878E-2</v>
      </c>
      <c r="V62" s="73"/>
      <c r="W62" s="18"/>
      <c r="X62" s="19"/>
      <c r="Y62" s="20"/>
      <c r="Z62" s="20"/>
      <c r="AA62" s="21"/>
      <c r="AB62" s="22"/>
      <c r="AC62" s="64"/>
      <c r="AD62" s="27"/>
      <c r="AE62" s="27"/>
      <c r="AF62" s="27"/>
      <c r="AG62" s="27"/>
      <c r="AH62" s="27"/>
      <c r="AI62" s="27"/>
      <c r="AN62" s="58"/>
      <c r="AO62" s="58"/>
      <c r="AP62" s="58"/>
    </row>
    <row r="63" spans="1:42">
      <c r="A63" s="288">
        <v>226</v>
      </c>
      <c r="B63" s="288" t="s">
        <v>376</v>
      </c>
      <c r="C63" s="289" t="s">
        <v>374</v>
      </c>
      <c r="D63" s="289" t="s">
        <v>1622</v>
      </c>
      <c r="E63" s="288"/>
      <c r="F63" s="288"/>
      <c r="G63" s="288"/>
      <c r="H63" s="288"/>
      <c r="I63" s="304"/>
      <c r="J63" s="305"/>
      <c r="K63" s="305"/>
      <c r="L63" s="306"/>
      <c r="M63" s="305"/>
      <c r="N63" s="305"/>
      <c r="O63" s="307"/>
      <c r="P63" s="289" t="s">
        <v>377</v>
      </c>
      <c r="Q63" s="288" t="s">
        <v>376</v>
      </c>
      <c r="R63" s="315">
        <v>3.3942929093309093E-3</v>
      </c>
      <c r="S63" s="315">
        <v>4.8489898704727278E-5</v>
      </c>
      <c r="T63" s="315">
        <v>1.2835561421839574</v>
      </c>
      <c r="U63" s="315">
        <v>5.754960997417834E-3</v>
      </c>
      <c r="V63" s="73"/>
      <c r="W63" s="18"/>
      <c r="X63" s="19"/>
      <c r="Y63" s="20"/>
      <c r="Z63" s="20"/>
      <c r="AA63" s="21"/>
      <c r="AB63" s="22"/>
      <c r="AC63" s="64"/>
      <c r="AD63" s="27"/>
      <c r="AE63" s="27"/>
      <c r="AF63" s="27"/>
      <c r="AG63" s="27"/>
      <c r="AH63" s="27"/>
      <c r="AI63" s="27"/>
      <c r="AN63" s="58"/>
      <c r="AO63" s="58"/>
      <c r="AP63" s="58"/>
    </row>
    <row r="64" spans="1:42">
      <c r="A64" s="290">
        <v>231</v>
      </c>
      <c r="B64" s="288" t="s">
        <v>378</v>
      </c>
      <c r="C64" s="289" t="s">
        <v>374</v>
      </c>
      <c r="D64" s="289" t="s">
        <v>1622</v>
      </c>
      <c r="E64" s="288"/>
      <c r="F64" s="288"/>
      <c r="G64" s="288"/>
      <c r="H64" s="288"/>
      <c r="I64" s="304"/>
      <c r="J64" s="305"/>
      <c r="K64" s="305"/>
      <c r="L64" s="306"/>
      <c r="M64" s="305"/>
      <c r="N64" s="305"/>
      <c r="O64" s="307"/>
      <c r="P64" s="289" t="s">
        <v>379</v>
      </c>
      <c r="Q64" s="288" t="s">
        <v>378</v>
      </c>
      <c r="R64" s="315">
        <v>5.9288065843621479E-4</v>
      </c>
      <c r="S64" s="315">
        <v>9.0853333333333326E-4</v>
      </c>
      <c r="T64" s="315">
        <v>2.5907407407407406</v>
      </c>
      <c r="U64" s="315">
        <v>2.0135802469135738E-2</v>
      </c>
      <c r="V64" s="73"/>
      <c r="W64" s="18"/>
      <c r="X64" s="19"/>
      <c r="Y64" s="20"/>
      <c r="Z64" s="20"/>
      <c r="AA64" s="21"/>
      <c r="AB64" s="22"/>
      <c r="AC64" s="64"/>
      <c r="AD64" s="27"/>
      <c r="AE64" s="27"/>
      <c r="AF64" s="27"/>
      <c r="AG64" s="27"/>
      <c r="AH64" s="27"/>
      <c r="AI64" s="27"/>
      <c r="AN64" s="58"/>
      <c r="AO64" s="58"/>
      <c r="AP64" s="58"/>
    </row>
    <row r="65" spans="1:42">
      <c r="A65" s="288">
        <v>218</v>
      </c>
      <c r="B65" s="288" t="s">
        <v>380</v>
      </c>
      <c r="C65" s="289" t="s">
        <v>374</v>
      </c>
      <c r="D65" s="289" t="s">
        <v>1623</v>
      </c>
      <c r="E65" s="288"/>
      <c r="F65" s="288"/>
      <c r="G65" s="288"/>
      <c r="H65" s="288"/>
      <c r="I65" s="304"/>
      <c r="J65" s="305"/>
      <c r="K65" s="305"/>
      <c r="L65" s="306"/>
      <c r="M65" s="305"/>
      <c r="N65" s="305"/>
      <c r="O65" s="307"/>
      <c r="P65" s="289" t="s">
        <v>381</v>
      </c>
      <c r="Q65" s="288" t="s">
        <v>380</v>
      </c>
      <c r="R65" s="315">
        <v>0</v>
      </c>
      <c r="S65" s="315">
        <v>0</v>
      </c>
      <c r="T65" s="315">
        <v>0</v>
      </c>
      <c r="U65" s="315">
        <v>2.9317042553191467E-3</v>
      </c>
      <c r="V65" s="73"/>
      <c r="W65" s="18"/>
      <c r="X65" s="19"/>
      <c r="Y65" s="20"/>
      <c r="Z65" s="20"/>
      <c r="AA65" s="21"/>
      <c r="AB65" s="22"/>
      <c r="AC65" s="64"/>
      <c r="AD65" s="27"/>
      <c r="AE65" s="27"/>
      <c r="AF65" s="27"/>
      <c r="AG65" s="27"/>
      <c r="AH65" s="27"/>
      <c r="AI65" s="27"/>
      <c r="AN65" s="58"/>
      <c r="AO65" s="58"/>
      <c r="AP65" s="58"/>
    </row>
    <row r="66" spans="1:42">
      <c r="A66" s="288">
        <v>228</v>
      </c>
      <c r="B66" s="288" t="s">
        <v>382</v>
      </c>
      <c r="C66" s="289" t="s">
        <v>374</v>
      </c>
      <c r="D66" s="289" t="s">
        <v>1623</v>
      </c>
      <c r="E66" s="288"/>
      <c r="F66" s="288"/>
      <c r="G66" s="288"/>
      <c r="H66" s="288"/>
      <c r="I66" s="304"/>
      <c r="J66" s="305"/>
      <c r="K66" s="305"/>
      <c r="L66" s="306"/>
      <c r="M66" s="305"/>
      <c r="N66" s="305"/>
      <c r="O66" s="307"/>
      <c r="P66" s="289" t="s">
        <v>383</v>
      </c>
      <c r="Q66" s="288" t="s">
        <v>382</v>
      </c>
      <c r="R66" s="315">
        <v>0</v>
      </c>
      <c r="S66" s="315">
        <v>0</v>
      </c>
      <c r="T66" s="315">
        <v>0</v>
      </c>
      <c r="U66" s="315">
        <v>3.3924961553261023E-3</v>
      </c>
      <c r="V66" s="73"/>
      <c r="W66" s="38"/>
      <c r="X66" s="19"/>
      <c r="Y66" s="20"/>
      <c r="Z66" s="20"/>
      <c r="AA66" s="21"/>
      <c r="AB66" s="22"/>
      <c r="AC66" s="64"/>
      <c r="AD66" s="27"/>
      <c r="AE66" s="27"/>
      <c r="AF66" s="27"/>
      <c r="AG66" s="27"/>
      <c r="AH66" s="27"/>
      <c r="AI66" s="27"/>
      <c r="AN66" s="58"/>
      <c r="AO66" s="58"/>
      <c r="AP66" s="58"/>
    </row>
    <row r="67" spans="1:42">
      <c r="A67" s="290">
        <v>235</v>
      </c>
      <c r="B67" s="288" t="s">
        <v>384</v>
      </c>
      <c r="C67" s="289" t="s">
        <v>374</v>
      </c>
      <c r="D67" s="289" t="s">
        <v>1623</v>
      </c>
      <c r="E67" s="288" t="s">
        <v>385</v>
      </c>
      <c r="F67" s="288" t="s">
        <v>386</v>
      </c>
      <c r="G67" s="288" t="s">
        <v>387</v>
      </c>
      <c r="H67" s="288"/>
      <c r="I67" s="304">
        <v>0</v>
      </c>
      <c r="J67" s="305">
        <v>0</v>
      </c>
      <c r="K67" s="305">
        <v>2.2323326446008546E-4</v>
      </c>
      <c r="L67" s="306">
        <v>0</v>
      </c>
      <c r="M67" s="305">
        <f t="shared" ref="M67:M68" si="17">L67/1000</f>
        <v>0</v>
      </c>
      <c r="N67" s="305">
        <f t="shared" ref="N67:N68" si="18">L67/1000</f>
        <v>0</v>
      </c>
      <c r="O67" s="307">
        <v>4.0785551773399884E-3</v>
      </c>
      <c r="P67" s="289" t="s">
        <v>388</v>
      </c>
      <c r="Q67" s="288" t="s">
        <v>384</v>
      </c>
      <c r="R67" s="315">
        <v>0</v>
      </c>
      <c r="S67" s="315">
        <v>0</v>
      </c>
      <c r="T67" s="315">
        <v>0</v>
      </c>
      <c r="U67" s="315">
        <v>4.0785551773399884E-3</v>
      </c>
      <c r="V67" s="73"/>
      <c r="W67" s="18"/>
      <c r="X67" s="19"/>
      <c r="Y67" s="20"/>
      <c r="Z67" s="20"/>
      <c r="AA67" s="21"/>
      <c r="AB67" s="22"/>
      <c r="AC67" s="64"/>
      <c r="AD67" s="27"/>
      <c r="AE67" s="27"/>
      <c r="AF67" s="27"/>
      <c r="AG67" s="27"/>
      <c r="AH67" s="27"/>
      <c r="AI67" s="27"/>
      <c r="AN67" s="58"/>
      <c r="AO67" s="58"/>
      <c r="AP67" s="58"/>
    </row>
    <row r="68" spans="1:42">
      <c r="A68" s="288">
        <v>223</v>
      </c>
      <c r="B68" s="288" t="s">
        <v>389</v>
      </c>
      <c r="C68" s="289" t="s">
        <v>374</v>
      </c>
      <c r="D68" s="289" t="s">
        <v>1624</v>
      </c>
      <c r="E68" s="288" t="s">
        <v>385</v>
      </c>
      <c r="F68" s="288" t="s">
        <v>390</v>
      </c>
      <c r="G68" s="288"/>
      <c r="H68" s="288"/>
      <c r="I68" s="304">
        <v>0</v>
      </c>
      <c r="J68" s="305">
        <f>5.05833333333333E-06/100</f>
        <v>5.0583333333333307E-8</v>
      </c>
      <c r="K68" s="305">
        <v>0</v>
      </c>
      <c r="L68" s="306">
        <v>0</v>
      </c>
      <c r="M68" s="305">
        <f t="shared" si="17"/>
        <v>0</v>
      </c>
      <c r="N68" s="305">
        <f t="shared" si="18"/>
        <v>0</v>
      </c>
      <c r="O68" s="307">
        <f>0.27715/100</f>
        <v>2.7715000000000001E-3</v>
      </c>
      <c r="P68" s="289" t="s">
        <v>391</v>
      </c>
      <c r="Q68" s="288" t="s">
        <v>389</v>
      </c>
      <c r="R68" s="302">
        <v>0</v>
      </c>
      <c r="S68" s="302">
        <v>5.0583333333333307E-8</v>
      </c>
      <c r="T68" s="302">
        <v>0</v>
      </c>
      <c r="U68" s="302">
        <v>2.7715000000000001E-3</v>
      </c>
      <c r="V68" s="17"/>
      <c r="W68" s="18"/>
      <c r="X68" s="19"/>
      <c r="Y68" s="20"/>
      <c r="Z68" s="20"/>
      <c r="AA68" s="21"/>
      <c r="AB68" s="22"/>
      <c r="AD68" s="27"/>
      <c r="AE68" s="27"/>
      <c r="AF68" s="27"/>
      <c r="AG68" s="27"/>
      <c r="AH68" s="27"/>
      <c r="AI68" s="27"/>
      <c r="AN68" s="58"/>
      <c r="AO68" s="58"/>
      <c r="AP68" s="58"/>
    </row>
    <row r="69" spans="1:42">
      <c r="A69" s="288">
        <v>212</v>
      </c>
      <c r="B69" s="288" t="s">
        <v>392</v>
      </c>
      <c r="C69" s="288" t="s">
        <v>374</v>
      </c>
      <c r="D69" s="289" t="s">
        <v>1625</v>
      </c>
      <c r="E69" s="288"/>
      <c r="F69" s="288"/>
      <c r="G69" s="288"/>
      <c r="H69" s="288"/>
      <c r="I69" s="304"/>
      <c r="J69" s="305"/>
      <c r="K69" s="305"/>
      <c r="L69" s="306"/>
      <c r="M69" s="305"/>
      <c r="N69" s="305"/>
      <c r="O69" s="307"/>
      <c r="P69" s="288" t="s">
        <v>393</v>
      </c>
      <c r="Q69" s="288" t="s">
        <v>392</v>
      </c>
      <c r="R69" s="315">
        <v>7.606340986302515E-3</v>
      </c>
      <c r="S69" s="315">
        <v>5.0672268899999999E-4</v>
      </c>
      <c r="T69" s="315">
        <v>1.143</v>
      </c>
      <c r="U69" s="315">
        <v>1.7449220050000002E-2</v>
      </c>
      <c r="V69" s="73"/>
      <c r="W69" s="18"/>
      <c r="X69" s="19"/>
      <c r="Y69" s="20"/>
      <c r="Z69" s="20"/>
      <c r="AA69" s="21"/>
      <c r="AB69" s="22"/>
      <c r="AD69" s="27"/>
      <c r="AE69" s="27"/>
      <c r="AF69" s="27"/>
      <c r="AG69" s="27"/>
      <c r="AH69" s="27"/>
      <c r="AI69" s="27"/>
      <c r="AN69" s="58"/>
      <c r="AO69" s="58"/>
      <c r="AP69" s="58"/>
    </row>
    <row r="70" spans="1:42">
      <c r="A70" s="290">
        <v>215</v>
      </c>
      <c r="B70" s="288" t="s">
        <v>394</v>
      </c>
      <c r="C70" s="289" t="s">
        <v>374</v>
      </c>
      <c r="D70" s="289" t="s">
        <v>1625</v>
      </c>
      <c r="E70" s="288" t="s">
        <v>385</v>
      </c>
      <c r="F70" s="288" t="s">
        <v>395</v>
      </c>
      <c r="G70" s="288" t="s">
        <v>396</v>
      </c>
      <c r="H70" s="288"/>
      <c r="I70" s="304">
        <v>1.4205941722987801E-2</v>
      </c>
      <c r="J70" s="305">
        <v>2.3570399999999999E-4</v>
      </c>
      <c r="K70" s="305">
        <v>2.1285206449999999E-4</v>
      </c>
      <c r="L70" s="306">
        <v>1143</v>
      </c>
      <c r="M70" s="305">
        <f t="shared" ref="M70:M81" si="19">L70/1000</f>
        <v>1.143</v>
      </c>
      <c r="N70" s="305">
        <f t="shared" ref="N70:N81" si="20">L70/1000</f>
        <v>1.143</v>
      </c>
      <c r="O70" s="307">
        <v>8.081666666666671E-3</v>
      </c>
      <c r="P70" s="289" t="s">
        <v>397</v>
      </c>
      <c r="Q70" s="288" t="s">
        <v>394</v>
      </c>
      <c r="R70" s="315">
        <v>1.4205941722987801E-2</v>
      </c>
      <c r="S70" s="315">
        <v>2.3570399999999999E-4</v>
      </c>
      <c r="T70" s="315">
        <v>1.143</v>
      </c>
      <c r="U70" s="315">
        <v>8.081666666666671E-3</v>
      </c>
      <c r="V70" s="73"/>
      <c r="W70" s="18"/>
      <c r="X70" s="19"/>
      <c r="Y70" s="20"/>
      <c r="Z70" s="20"/>
      <c r="AA70" s="21"/>
      <c r="AB70" s="22"/>
      <c r="AD70" s="27"/>
      <c r="AE70" s="27"/>
      <c r="AF70" s="27"/>
      <c r="AG70" s="27"/>
      <c r="AH70" s="27"/>
      <c r="AI70" s="27"/>
      <c r="AN70" s="58"/>
      <c r="AO70" s="58"/>
      <c r="AP70" s="58"/>
    </row>
    <row r="71" spans="1:42">
      <c r="A71" s="290">
        <v>225</v>
      </c>
      <c r="B71" s="288" t="s">
        <v>398</v>
      </c>
      <c r="C71" s="289" t="s">
        <v>374</v>
      </c>
      <c r="D71" s="289" t="s">
        <v>1625</v>
      </c>
      <c r="E71" s="288" t="s">
        <v>385</v>
      </c>
      <c r="F71" s="288" t="s">
        <v>399</v>
      </c>
      <c r="G71" s="288" t="s">
        <v>400</v>
      </c>
      <c r="H71" s="288"/>
      <c r="I71" s="304">
        <v>3.0225999999999999E-3</v>
      </c>
      <c r="J71" s="305">
        <v>4.3179999999999997E-5</v>
      </c>
      <c r="K71" s="305">
        <v>2.5442078733963202E-4</v>
      </c>
      <c r="L71" s="306">
        <v>1143</v>
      </c>
      <c r="M71" s="305">
        <f t="shared" si="19"/>
        <v>1.143</v>
      </c>
      <c r="N71" s="305">
        <f t="shared" si="20"/>
        <v>1.143</v>
      </c>
      <c r="O71" s="307">
        <v>5.1247625279999993E-3</v>
      </c>
      <c r="P71" s="289" t="s">
        <v>401</v>
      </c>
      <c r="Q71" s="288" t="s">
        <v>398</v>
      </c>
      <c r="R71" s="315">
        <v>3.0225999999999999E-3</v>
      </c>
      <c r="S71" s="315">
        <v>4.3179999999999997E-5</v>
      </c>
      <c r="T71" s="315">
        <v>1.143</v>
      </c>
      <c r="U71" s="315">
        <v>5.1247625279999993E-3</v>
      </c>
      <c r="V71" s="73"/>
      <c r="W71" s="18"/>
      <c r="X71" s="19"/>
      <c r="Y71" s="20"/>
      <c r="Z71" s="20"/>
      <c r="AA71" s="21"/>
      <c r="AB71" s="22"/>
      <c r="AH71" s="27"/>
      <c r="AI71" s="27"/>
      <c r="AN71" s="58"/>
      <c r="AO71" s="58"/>
      <c r="AP71" s="58"/>
    </row>
    <row r="72" spans="1:42">
      <c r="A72" s="288">
        <v>230</v>
      </c>
      <c r="B72" s="288" t="s">
        <v>402</v>
      </c>
      <c r="C72" s="289" t="s">
        <v>374</v>
      </c>
      <c r="D72" s="289" t="s">
        <v>1625</v>
      </c>
      <c r="E72" s="288" t="s">
        <v>385</v>
      </c>
      <c r="F72" s="288" t="s">
        <v>403</v>
      </c>
      <c r="G72" s="288" t="s">
        <v>396</v>
      </c>
      <c r="H72" s="288"/>
      <c r="I72" s="304">
        <v>3.2015555555555601E-4</v>
      </c>
      <c r="J72" s="305">
        <v>4.9060800000000002E-4</v>
      </c>
      <c r="K72" s="305">
        <v>3.2872385079429705E-4</v>
      </c>
      <c r="L72" s="306">
        <v>1399</v>
      </c>
      <c r="M72" s="305">
        <f t="shared" si="19"/>
        <v>1.399</v>
      </c>
      <c r="N72" s="305">
        <f t="shared" si="20"/>
        <v>1.399</v>
      </c>
      <c r="O72" s="307">
        <v>1.0873333333333299E-2</v>
      </c>
      <c r="P72" s="289" t="s">
        <v>404</v>
      </c>
      <c r="Q72" s="288" t="s">
        <v>402</v>
      </c>
      <c r="R72" s="315">
        <v>3.2015555555555601E-4</v>
      </c>
      <c r="S72" s="315">
        <v>4.9060800000000002E-4</v>
      </c>
      <c r="T72" s="315">
        <v>1.399</v>
      </c>
      <c r="U72" s="315">
        <v>1.0873333333333299E-2</v>
      </c>
      <c r="V72" s="73"/>
      <c r="W72" s="18"/>
      <c r="X72" s="19"/>
      <c r="Y72" s="20"/>
      <c r="Z72" s="20"/>
      <c r="AA72" s="21"/>
      <c r="AB72" s="22"/>
      <c r="AD72" s="27"/>
      <c r="AE72" s="27"/>
      <c r="AF72" s="27"/>
      <c r="AG72" s="27"/>
      <c r="AH72" s="27"/>
      <c r="AI72" s="27"/>
      <c r="AN72" s="58"/>
      <c r="AO72" s="58"/>
      <c r="AP72" s="58"/>
    </row>
    <row r="73" spans="1:42">
      <c r="A73" s="288">
        <v>233</v>
      </c>
      <c r="B73" s="288" t="s">
        <v>405</v>
      </c>
      <c r="C73" s="289" t="s">
        <v>374</v>
      </c>
      <c r="D73" s="289" t="s">
        <v>1625</v>
      </c>
      <c r="E73" s="288" t="s">
        <v>385</v>
      </c>
      <c r="F73" s="288" t="s">
        <v>406</v>
      </c>
      <c r="G73" s="288" t="s">
        <v>396</v>
      </c>
      <c r="H73" s="288"/>
      <c r="I73" s="304">
        <v>1.2876666666666701E-2</v>
      </c>
      <c r="J73" s="305">
        <v>3.6204E-4</v>
      </c>
      <c r="K73" s="305">
        <v>2.9941586091339101E-4</v>
      </c>
      <c r="L73" s="306">
        <v>1143</v>
      </c>
      <c r="M73" s="305">
        <f t="shared" si="19"/>
        <v>1.143</v>
      </c>
      <c r="N73" s="305">
        <f t="shared" si="20"/>
        <v>1.143</v>
      </c>
      <c r="O73" s="307">
        <v>1.907E-2</v>
      </c>
      <c r="P73" s="289" t="s">
        <v>407</v>
      </c>
      <c r="Q73" s="288" t="s">
        <v>405</v>
      </c>
      <c r="R73" s="315">
        <v>1.2876666666666701E-2</v>
      </c>
      <c r="S73" s="315">
        <v>3.6204E-4</v>
      </c>
      <c r="T73" s="315">
        <v>1.143</v>
      </c>
      <c r="U73" s="315">
        <v>1.907E-2</v>
      </c>
      <c r="V73" s="73"/>
      <c r="W73" s="18"/>
      <c r="X73" s="19"/>
      <c r="Y73" s="20"/>
      <c r="Z73" s="20"/>
      <c r="AA73" s="21"/>
      <c r="AB73" s="22"/>
      <c r="AD73" s="27"/>
      <c r="AE73" s="27"/>
      <c r="AF73" s="27"/>
      <c r="AG73" s="27"/>
      <c r="AH73" s="27"/>
      <c r="AI73" s="27"/>
      <c r="AN73" s="58"/>
      <c r="AO73" s="58"/>
      <c r="AP73" s="58"/>
    </row>
    <row r="74" spans="1:42">
      <c r="A74" s="288">
        <v>214</v>
      </c>
      <c r="B74" s="288" t="s">
        <v>408</v>
      </c>
      <c r="C74" s="288" t="s">
        <v>374</v>
      </c>
      <c r="D74" s="289" t="s">
        <v>1626</v>
      </c>
      <c r="E74" s="288" t="s">
        <v>385</v>
      </c>
      <c r="F74" s="288" t="s">
        <v>409</v>
      </c>
      <c r="G74" s="288" t="s">
        <v>410</v>
      </c>
      <c r="H74" s="288"/>
      <c r="I74" s="304">
        <v>0</v>
      </c>
      <c r="J74" s="305">
        <v>0</v>
      </c>
      <c r="K74" s="305">
        <v>0</v>
      </c>
      <c r="L74" s="306">
        <v>0</v>
      </c>
      <c r="M74" s="305">
        <f t="shared" si="19"/>
        <v>0</v>
      </c>
      <c r="N74" s="305">
        <f t="shared" si="20"/>
        <v>0</v>
      </c>
      <c r="O74" s="307">
        <v>4.4753931430000001E-3</v>
      </c>
      <c r="P74" s="288" t="s">
        <v>411</v>
      </c>
      <c r="Q74" s="288" t="s">
        <v>408</v>
      </c>
      <c r="R74" s="315">
        <v>0</v>
      </c>
      <c r="S74" s="315">
        <v>0</v>
      </c>
      <c r="T74" s="315">
        <v>0</v>
      </c>
      <c r="U74" s="315">
        <v>4.4753931430000001E-3</v>
      </c>
      <c r="V74" s="73"/>
      <c r="W74" s="18"/>
      <c r="X74" s="19"/>
      <c r="Y74" s="20"/>
      <c r="Z74" s="20"/>
      <c r="AA74" s="21"/>
      <c r="AB74" s="22"/>
      <c r="AD74" s="27"/>
      <c r="AE74" s="27"/>
      <c r="AF74" s="27"/>
      <c r="AG74" s="27"/>
      <c r="AH74" s="27"/>
      <c r="AI74" s="27"/>
      <c r="AN74" s="58"/>
      <c r="AO74" s="58"/>
      <c r="AP74" s="58"/>
    </row>
    <row r="75" spans="1:42">
      <c r="A75" s="288">
        <v>216</v>
      </c>
      <c r="B75" s="288" t="s">
        <v>412</v>
      </c>
      <c r="C75" s="289" t="s">
        <v>374</v>
      </c>
      <c r="D75" s="289" t="s">
        <v>1626</v>
      </c>
      <c r="E75" s="288" t="s">
        <v>385</v>
      </c>
      <c r="F75" s="288" t="s">
        <v>413</v>
      </c>
      <c r="G75" s="288" t="s">
        <v>396</v>
      </c>
      <c r="H75" s="288"/>
      <c r="I75" s="304">
        <v>0</v>
      </c>
      <c r="J75" s="305">
        <v>0</v>
      </c>
      <c r="K75" s="305">
        <v>0</v>
      </c>
      <c r="L75" s="306">
        <v>0</v>
      </c>
      <c r="M75" s="305">
        <f t="shared" si="19"/>
        <v>0</v>
      </c>
      <c r="N75" s="305">
        <f t="shared" si="20"/>
        <v>0</v>
      </c>
      <c r="O75" s="307">
        <v>2.7715000000000001E-3</v>
      </c>
      <c r="P75" s="289" t="s">
        <v>414</v>
      </c>
      <c r="Q75" s="288" t="s">
        <v>412</v>
      </c>
      <c r="R75" s="315">
        <v>0</v>
      </c>
      <c r="S75" s="315">
        <v>0</v>
      </c>
      <c r="T75" s="315">
        <v>0</v>
      </c>
      <c r="U75" s="315">
        <v>2.7715000000000001E-3</v>
      </c>
      <c r="V75" s="73"/>
      <c r="W75" s="18"/>
      <c r="X75" s="19"/>
      <c r="Y75" s="20"/>
      <c r="Z75" s="20"/>
      <c r="AA75" s="21"/>
      <c r="AB75" s="22"/>
      <c r="AD75" s="27"/>
      <c r="AE75" s="27"/>
      <c r="AF75" s="27"/>
      <c r="AG75" s="27"/>
      <c r="AH75" s="27"/>
      <c r="AI75" s="27"/>
      <c r="AN75" s="58"/>
      <c r="AO75" s="58"/>
      <c r="AP75" s="58"/>
    </row>
    <row r="76" spans="1:42">
      <c r="A76" s="288">
        <v>217</v>
      </c>
      <c r="B76" s="288" t="s">
        <v>415</v>
      </c>
      <c r="C76" s="289" t="s">
        <v>374</v>
      </c>
      <c r="D76" s="289" t="s">
        <v>1626</v>
      </c>
      <c r="E76" s="288" t="s">
        <v>385</v>
      </c>
      <c r="F76" s="288" t="s">
        <v>416</v>
      </c>
      <c r="G76" s="288" t="s">
        <v>396</v>
      </c>
      <c r="H76" s="288"/>
      <c r="I76" s="304">
        <v>0</v>
      </c>
      <c r="J76" s="305">
        <v>0</v>
      </c>
      <c r="K76" s="305">
        <v>0</v>
      </c>
      <c r="L76" s="306">
        <v>0</v>
      </c>
      <c r="M76" s="305">
        <f t="shared" si="19"/>
        <v>0</v>
      </c>
      <c r="N76" s="305">
        <f t="shared" si="20"/>
        <v>0</v>
      </c>
      <c r="O76" s="307">
        <v>4.18814893617021E-3</v>
      </c>
      <c r="P76" s="289" t="s">
        <v>417</v>
      </c>
      <c r="Q76" s="288" t="s">
        <v>415</v>
      </c>
      <c r="R76" s="315">
        <v>0</v>
      </c>
      <c r="S76" s="315">
        <v>0</v>
      </c>
      <c r="T76" s="315">
        <v>0</v>
      </c>
      <c r="U76" s="315">
        <v>4.18814893617021E-3</v>
      </c>
      <c r="V76" s="73"/>
      <c r="W76" s="18"/>
      <c r="X76" s="19"/>
      <c r="Y76" s="20"/>
      <c r="Z76" s="20"/>
      <c r="AA76" s="21"/>
      <c r="AB76" s="22"/>
      <c r="AD76" s="27"/>
      <c r="AE76" s="27"/>
      <c r="AF76" s="27"/>
      <c r="AG76" s="27"/>
      <c r="AH76" s="27"/>
      <c r="AI76" s="27"/>
      <c r="AN76" s="58"/>
      <c r="AO76" s="58"/>
      <c r="AP76" s="58"/>
    </row>
    <row r="77" spans="1:42">
      <c r="A77" s="290">
        <v>219</v>
      </c>
      <c r="B77" s="288" t="s">
        <v>418</v>
      </c>
      <c r="C77" s="289" t="s">
        <v>374</v>
      </c>
      <c r="D77" s="289" t="s">
        <v>1626</v>
      </c>
      <c r="E77" s="288" t="s">
        <v>385</v>
      </c>
      <c r="F77" s="288" t="s">
        <v>419</v>
      </c>
      <c r="G77" s="288" t="s">
        <v>396</v>
      </c>
      <c r="H77" s="288"/>
      <c r="I77" s="304">
        <v>0</v>
      </c>
      <c r="J77" s="305">
        <v>0</v>
      </c>
      <c r="K77" s="305">
        <v>0</v>
      </c>
      <c r="L77" s="306">
        <v>0</v>
      </c>
      <c r="M77" s="305">
        <f t="shared" si="19"/>
        <v>0</v>
      </c>
      <c r="N77" s="305">
        <f t="shared" si="20"/>
        <v>0</v>
      </c>
      <c r="O77" s="307">
        <v>1.6038461538461498E-2</v>
      </c>
      <c r="P77" s="289" t="s">
        <v>420</v>
      </c>
      <c r="Q77" s="288" t="s">
        <v>418</v>
      </c>
      <c r="R77" s="315">
        <v>0</v>
      </c>
      <c r="S77" s="315">
        <v>0</v>
      </c>
      <c r="T77" s="315">
        <v>0</v>
      </c>
      <c r="U77" s="315">
        <v>1.6038461538461498E-2</v>
      </c>
      <c r="V77" s="73"/>
      <c r="W77" s="18"/>
      <c r="X77" s="19"/>
      <c r="Y77" s="20"/>
      <c r="Z77" s="20"/>
      <c r="AA77" s="21"/>
      <c r="AB77" s="22"/>
      <c r="AD77" s="27"/>
      <c r="AE77" s="27"/>
      <c r="AF77" s="27"/>
      <c r="AG77" s="27"/>
      <c r="AH77" s="27"/>
      <c r="AI77" s="27"/>
      <c r="AN77" s="58"/>
      <c r="AO77" s="58"/>
      <c r="AP77" s="58"/>
    </row>
    <row r="78" spans="1:42">
      <c r="A78" s="288">
        <v>220</v>
      </c>
      <c r="B78" s="288" t="s">
        <v>421</v>
      </c>
      <c r="C78" s="289" t="s">
        <v>374</v>
      </c>
      <c r="D78" s="289" t="s">
        <v>1626</v>
      </c>
      <c r="E78" s="288" t="s">
        <v>385</v>
      </c>
      <c r="F78" s="288" t="s">
        <v>422</v>
      </c>
      <c r="G78" s="288" t="s">
        <v>396</v>
      </c>
      <c r="H78" s="288"/>
      <c r="I78" s="304">
        <v>0</v>
      </c>
      <c r="J78" s="305">
        <v>0</v>
      </c>
      <c r="K78" s="305">
        <v>0</v>
      </c>
      <c r="L78" s="306">
        <v>0</v>
      </c>
      <c r="M78" s="305">
        <f t="shared" si="19"/>
        <v>0</v>
      </c>
      <c r="N78" s="305">
        <f t="shared" si="20"/>
        <v>0</v>
      </c>
      <c r="O78" s="307">
        <v>3.2798717142857097E-3</v>
      </c>
      <c r="P78" s="289" t="s">
        <v>423</v>
      </c>
      <c r="Q78" s="288" t="s">
        <v>421</v>
      </c>
      <c r="R78" s="315">
        <v>0</v>
      </c>
      <c r="S78" s="315">
        <v>0</v>
      </c>
      <c r="T78" s="315">
        <v>0</v>
      </c>
      <c r="U78" s="315">
        <v>3.2798717142857097E-3</v>
      </c>
      <c r="V78" s="73"/>
      <c r="W78" s="18"/>
      <c r="X78" s="19"/>
      <c r="Y78" s="20"/>
      <c r="Z78" s="20"/>
      <c r="AA78" s="21"/>
      <c r="AB78" s="22"/>
      <c r="AD78" s="27"/>
      <c r="AE78" s="27"/>
      <c r="AF78" s="27"/>
      <c r="AG78" s="27"/>
      <c r="AH78" s="27"/>
      <c r="AI78" s="27"/>
      <c r="AN78" s="58"/>
      <c r="AO78" s="58"/>
      <c r="AP78" s="58"/>
    </row>
    <row r="79" spans="1:42">
      <c r="A79" s="290">
        <v>221</v>
      </c>
      <c r="B79" s="288" t="s">
        <v>424</v>
      </c>
      <c r="C79" s="289" t="s">
        <v>374</v>
      </c>
      <c r="D79" s="289" t="s">
        <v>1626</v>
      </c>
      <c r="E79" s="288" t="s">
        <v>385</v>
      </c>
      <c r="F79" s="288" t="s">
        <v>425</v>
      </c>
      <c r="G79" s="288" t="s">
        <v>396</v>
      </c>
      <c r="H79" s="288"/>
      <c r="I79" s="304">
        <v>0</v>
      </c>
      <c r="J79" s="305">
        <v>0</v>
      </c>
      <c r="K79" s="305">
        <v>0</v>
      </c>
      <c r="L79" s="306">
        <v>0</v>
      </c>
      <c r="M79" s="305">
        <f t="shared" si="19"/>
        <v>0</v>
      </c>
      <c r="N79" s="305">
        <f t="shared" si="20"/>
        <v>0</v>
      </c>
      <c r="O79" s="307">
        <v>3.6863489999999998E-3</v>
      </c>
      <c r="P79" s="289" t="s">
        <v>426</v>
      </c>
      <c r="Q79" s="288" t="s">
        <v>424</v>
      </c>
      <c r="R79" s="315">
        <v>0</v>
      </c>
      <c r="S79" s="315">
        <v>0</v>
      </c>
      <c r="T79" s="315">
        <v>0</v>
      </c>
      <c r="U79" s="315">
        <v>3.6863489999999998E-3</v>
      </c>
      <c r="V79" s="73"/>
      <c r="W79" s="18"/>
      <c r="X79" s="19"/>
      <c r="Y79" s="20"/>
      <c r="Z79" s="20"/>
      <c r="AA79" s="21"/>
      <c r="AB79" s="22"/>
      <c r="AD79" s="27"/>
      <c r="AE79" s="27"/>
      <c r="AF79" s="27"/>
      <c r="AG79" s="27"/>
      <c r="AH79" s="27"/>
      <c r="AI79" s="27"/>
      <c r="AN79" s="58"/>
      <c r="AO79" s="58"/>
      <c r="AP79" s="58"/>
    </row>
    <row r="80" spans="1:42">
      <c r="A80" s="288">
        <v>222</v>
      </c>
      <c r="B80" s="288" t="s">
        <v>427</v>
      </c>
      <c r="C80" s="289" t="s">
        <v>374</v>
      </c>
      <c r="D80" s="289" t="s">
        <v>1626</v>
      </c>
      <c r="E80" s="288" t="s">
        <v>385</v>
      </c>
      <c r="F80" s="288" t="s">
        <v>428</v>
      </c>
      <c r="G80" s="288" t="s">
        <v>429</v>
      </c>
      <c r="H80" s="288"/>
      <c r="I80" s="304">
        <v>0</v>
      </c>
      <c r="J80" s="305">
        <v>0</v>
      </c>
      <c r="K80" s="305">
        <v>0</v>
      </c>
      <c r="L80" s="306">
        <v>0</v>
      </c>
      <c r="M80" s="305">
        <f t="shared" si="19"/>
        <v>0</v>
      </c>
      <c r="N80" s="305">
        <f t="shared" si="20"/>
        <v>0</v>
      </c>
      <c r="O80" s="307">
        <v>5.2883477142857101E-3</v>
      </c>
      <c r="P80" s="289" t="s">
        <v>430</v>
      </c>
      <c r="Q80" s="288" t="s">
        <v>427</v>
      </c>
      <c r="R80" s="315">
        <v>0</v>
      </c>
      <c r="S80" s="315">
        <v>0</v>
      </c>
      <c r="T80" s="315">
        <v>0</v>
      </c>
      <c r="U80" s="315">
        <v>5.2883477142857101E-3</v>
      </c>
      <c r="V80" s="73"/>
      <c r="W80" s="18"/>
      <c r="X80" s="19"/>
      <c r="Y80" s="20"/>
      <c r="Z80" s="20"/>
      <c r="AA80" s="21"/>
      <c r="AB80" s="22"/>
      <c r="AD80" s="27"/>
      <c r="AE80" s="27"/>
      <c r="AF80" s="27"/>
      <c r="AG80" s="27"/>
      <c r="AH80" s="27"/>
      <c r="AI80" s="27"/>
      <c r="AN80" s="58"/>
      <c r="AO80" s="58"/>
      <c r="AP80" s="58"/>
    </row>
    <row r="81" spans="1:42">
      <c r="A81" s="288">
        <v>224</v>
      </c>
      <c r="B81" s="288" t="s">
        <v>431</v>
      </c>
      <c r="C81" s="289" t="s">
        <v>374</v>
      </c>
      <c r="D81" s="289" t="s">
        <v>1626</v>
      </c>
      <c r="E81" s="288" t="s">
        <v>385</v>
      </c>
      <c r="F81" s="288" t="s">
        <v>432</v>
      </c>
      <c r="G81" s="288" t="s">
        <v>433</v>
      </c>
      <c r="H81" s="288"/>
      <c r="I81" s="304">
        <v>0</v>
      </c>
      <c r="J81" s="305">
        <v>0</v>
      </c>
      <c r="K81" s="305">
        <v>0</v>
      </c>
      <c r="L81" s="306">
        <v>0</v>
      </c>
      <c r="M81" s="305">
        <f t="shared" si="19"/>
        <v>0</v>
      </c>
      <c r="N81" s="305">
        <f t="shared" si="20"/>
        <v>0</v>
      </c>
      <c r="O81" s="307">
        <v>3.32666666666667E-3</v>
      </c>
      <c r="P81" s="289" t="s">
        <v>434</v>
      </c>
      <c r="Q81" s="288" t="s">
        <v>431</v>
      </c>
      <c r="R81" s="315">
        <v>0</v>
      </c>
      <c r="S81" s="315">
        <v>0</v>
      </c>
      <c r="T81" s="315">
        <v>0</v>
      </c>
      <c r="U81" s="315">
        <v>3.32666666666667E-3</v>
      </c>
      <c r="V81" s="73"/>
      <c r="W81" s="18"/>
      <c r="X81" s="19"/>
      <c r="Y81" s="20"/>
      <c r="Z81" s="20"/>
      <c r="AA81" s="21"/>
      <c r="AB81" s="22"/>
      <c r="AD81" s="27"/>
      <c r="AE81" s="27"/>
      <c r="AF81" s="27"/>
      <c r="AG81" s="27"/>
      <c r="AH81" s="27"/>
      <c r="AI81" s="27"/>
      <c r="AN81" s="58"/>
      <c r="AO81" s="58"/>
      <c r="AP81" s="58"/>
    </row>
    <row r="82" spans="1:42">
      <c r="A82" s="288">
        <v>227</v>
      </c>
      <c r="B82" s="288" t="s">
        <v>435</v>
      </c>
      <c r="C82" s="289" t="s">
        <v>374</v>
      </c>
      <c r="D82" s="289" t="s">
        <v>1626</v>
      </c>
      <c r="E82" s="288"/>
      <c r="F82" s="288"/>
      <c r="G82" s="288"/>
      <c r="H82" s="288"/>
      <c r="I82" s="304"/>
      <c r="J82" s="305"/>
      <c r="K82" s="305"/>
      <c r="L82" s="306"/>
      <c r="M82" s="305"/>
      <c r="N82" s="305"/>
      <c r="O82" s="307"/>
      <c r="P82" s="289" t="s">
        <v>436</v>
      </c>
      <c r="Q82" s="288" t="s">
        <v>435</v>
      </c>
      <c r="R82" s="315">
        <v>0</v>
      </c>
      <c r="S82" s="315">
        <v>0</v>
      </c>
      <c r="T82" s="315">
        <v>0</v>
      </c>
      <c r="U82" s="315">
        <v>3.0209999999999998E-3</v>
      </c>
      <c r="V82" s="73"/>
      <c r="W82" s="18"/>
      <c r="X82" s="19"/>
      <c r="Y82" s="20"/>
      <c r="Z82" s="20"/>
      <c r="AA82" s="21"/>
      <c r="AB82" s="22"/>
      <c r="AD82" s="27"/>
      <c r="AE82" s="27"/>
      <c r="AF82" s="27"/>
      <c r="AG82" s="27"/>
      <c r="AH82" s="27"/>
      <c r="AI82" s="27"/>
      <c r="AN82" s="58"/>
      <c r="AO82" s="58"/>
      <c r="AP82" s="58"/>
    </row>
    <row r="83" spans="1:42">
      <c r="A83" s="290">
        <v>229</v>
      </c>
      <c r="B83" s="288" t="s">
        <v>437</v>
      </c>
      <c r="C83" s="289" t="s">
        <v>374</v>
      </c>
      <c r="D83" s="289" t="s">
        <v>1626</v>
      </c>
      <c r="E83" s="288" t="s">
        <v>385</v>
      </c>
      <c r="F83" s="288" t="s">
        <v>428</v>
      </c>
      <c r="G83" s="288" t="s">
        <v>429</v>
      </c>
      <c r="H83" s="288"/>
      <c r="I83" s="304">
        <v>0</v>
      </c>
      <c r="J83" s="305">
        <v>0</v>
      </c>
      <c r="K83" s="305">
        <v>0</v>
      </c>
      <c r="L83" s="306">
        <v>0</v>
      </c>
      <c r="M83" s="305">
        <f t="shared" ref="M83:M95" si="21">L83/1000</f>
        <v>0</v>
      </c>
      <c r="N83" s="305">
        <f t="shared" ref="N83:N95" si="22">L83/1000</f>
        <v>0</v>
      </c>
      <c r="O83" s="307">
        <v>5.93392928571429E-3</v>
      </c>
      <c r="P83" s="289" t="s">
        <v>438</v>
      </c>
      <c r="Q83" s="288" t="s">
        <v>437</v>
      </c>
      <c r="R83" s="315">
        <v>0</v>
      </c>
      <c r="S83" s="315">
        <v>0</v>
      </c>
      <c r="T83" s="315">
        <v>0</v>
      </c>
      <c r="U83" s="315">
        <v>5.93392928571429E-3</v>
      </c>
      <c r="V83" s="73"/>
      <c r="W83" s="18"/>
      <c r="X83" s="19"/>
      <c r="Y83" s="20"/>
      <c r="Z83" s="20"/>
      <c r="AA83" s="21"/>
      <c r="AB83" s="22"/>
      <c r="AD83" s="27"/>
      <c r="AE83" s="27"/>
      <c r="AF83" s="27"/>
      <c r="AG83" s="27"/>
      <c r="AH83" s="27"/>
      <c r="AI83" s="27"/>
      <c r="AN83" s="58"/>
      <c r="AO83" s="58"/>
      <c r="AP83" s="58"/>
    </row>
    <row r="84" spans="1:42">
      <c r="A84" s="288">
        <v>232</v>
      </c>
      <c r="B84" s="288" t="s">
        <v>439</v>
      </c>
      <c r="C84" s="289" t="s">
        <v>374</v>
      </c>
      <c r="D84" s="289" t="s">
        <v>1626</v>
      </c>
      <c r="E84" s="288" t="s">
        <v>385</v>
      </c>
      <c r="F84" s="288" t="s">
        <v>440</v>
      </c>
      <c r="G84" s="288" t="s">
        <v>441</v>
      </c>
      <c r="H84" s="288"/>
      <c r="I84" s="304">
        <v>0</v>
      </c>
      <c r="J84" s="305">
        <v>0</v>
      </c>
      <c r="K84" s="305">
        <v>0</v>
      </c>
      <c r="L84" s="306">
        <v>0</v>
      </c>
      <c r="M84" s="305">
        <f t="shared" si="21"/>
        <v>0</v>
      </c>
      <c r="N84" s="305">
        <f t="shared" si="22"/>
        <v>0</v>
      </c>
      <c r="O84" s="307">
        <v>1.4499999999999999E-2</v>
      </c>
      <c r="P84" s="289" t="s">
        <v>442</v>
      </c>
      <c r="Q84" s="288" t="s">
        <v>439</v>
      </c>
      <c r="R84" s="315">
        <v>0</v>
      </c>
      <c r="S84" s="315">
        <v>0</v>
      </c>
      <c r="T84" s="315">
        <v>0</v>
      </c>
      <c r="U84" s="315">
        <v>1.4499999999999999E-2</v>
      </c>
      <c r="V84" s="73"/>
      <c r="W84" s="18"/>
      <c r="X84" s="19"/>
      <c r="Y84" s="20"/>
      <c r="Z84" s="20"/>
      <c r="AA84" s="21"/>
      <c r="AB84" s="22"/>
      <c r="AD84" s="27"/>
      <c r="AE84" s="27"/>
      <c r="AF84" s="27"/>
      <c r="AG84" s="27"/>
      <c r="AH84" s="27"/>
      <c r="AI84" s="27"/>
      <c r="AN84" s="58"/>
      <c r="AO84" s="58"/>
      <c r="AP84" s="58"/>
    </row>
    <row r="85" spans="1:42">
      <c r="A85" s="288">
        <v>234</v>
      </c>
      <c r="B85" s="288" t="s">
        <v>443</v>
      </c>
      <c r="C85" s="289" t="s">
        <v>374</v>
      </c>
      <c r="D85" s="289" t="s">
        <v>1626</v>
      </c>
      <c r="E85" s="288" t="s">
        <v>385</v>
      </c>
      <c r="F85" s="288" t="s">
        <v>386</v>
      </c>
      <c r="G85" s="288" t="s">
        <v>387</v>
      </c>
      <c r="H85" s="288"/>
      <c r="I85" s="304">
        <v>0</v>
      </c>
      <c r="J85" s="305">
        <v>0</v>
      </c>
      <c r="K85" s="305">
        <v>3.3744563232338502E-4</v>
      </c>
      <c r="L85" s="306">
        <v>0</v>
      </c>
      <c r="M85" s="305">
        <f t="shared" si="21"/>
        <v>0</v>
      </c>
      <c r="N85" s="305">
        <f t="shared" si="22"/>
        <v>0</v>
      </c>
      <c r="O85" s="307">
        <v>4.1018149762685327E-3</v>
      </c>
      <c r="P85" s="289" t="s">
        <v>444</v>
      </c>
      <c r="Q85" s="288" t="s">
        <v>443</v>
      </c>
      <c r="R85" s="315">
        <v>0</v>
      </c>
      <c r="S85" s="315">
        <v>0</v>
      </c>
      <c r="T85" s="315">
        <v>0</v>
      </c>
      <c r="U85" s="315">
        <v>4.1018149762685327E-3</v>
      </c>
      <c r="V85" s="73"/>
      <c r="W85" s="67" t="s">
        <v>202</v>
      </c>
      <c r="X85" s="19">
        <f t="shared" ref="X85:AA85" si="23">AVERAGE(R62:R85)</f>
        <v>2.2558557267331027E-3</v>
      </c>
      <c r="Y85" s="20">
        <f t="shared" si="23"/>
        <v>1.4178561258253983E-4</v>
      </c>
      <c r="Z85" s="20">
        <f t="shared" si="23"/>
        <v>0.48611711779782524</v>
      </c>
      <c r="AA85" s="21">
        <f t="shared" si="23"/>
        <v>8.2534586083093022E-3</v>
      </c>
      <c r="AB85" s="22"/>
      <c r="AD85" s="27"/>
      <c r="AE85" s="27"/>
      <c r="AF85" s="27"/>
      <c r="AG85" s="27"/>
      <c r="AH85" s="27"/>
      <c r="AI85" s="27"/>
      <c r="AN85" s="58"/>
      <c r="AO85" s="58"/>
      <c r="AP85" s="58"/>
    </row>
    <row r="86" spans="1:42">
      <c r="A86" s="288">
        <v>83</v>
      </c>
      <c r="B86" s="288" t="s">
        <v>445</v>
      </c>
      <c r="C86" s="289" t="s">
        <v>446</v>
      </c>
      <c r="D86" s="289" t="s">
        <v>1627</v>
      </c>
      <c r="E86" s="288" t="s">
        <v>188</v>
      </c>
      <c r="F86" s="288" t="s">
        <v>445</v>
      </c>
      <c r="G86" s="288" t="s">
        <v>1008</v>
      </c>
      <c r="H86" s="288"/>
      <c r="I86" s="304">
        <v>2.0907198096371199E-3</v>
      </c>
      <c r="J86" s="305">
        <v>1.7024640721375099E-2</v>
      </c>
      <c r="K86" s="305">
        <v>3.6304347826086956E-4</v>
      </c>
      <c r="L86" s="306">
        <v>419</v>
      </c>
      <c r="M86" s="305">
        <f t="shared" si="21"/>
        <v>0.41899999999999998</v>
      </c>
      <c r="N86" s="305">
        <f t="shared" si="22"/>
        <v>0.41899999999999998</v>
      </c>
      <c r="O86" s="307">
        <v>9.106057387715603E-4</v>
      </c>
      <c r="P86" s="289" t="s">
        <v>447</v>
      </c>
      <c r="Q86" s="288" t="s">
        <v>445</v>
      </c>
      <c r="R86" s="315">
        <v>2.0907198096371199E-3</v>
      </c>
      <c r="S86" s="315">
        <v>1.7024640721375099E-2</v>
      </c>
      <c r="T86" s="315">
        <v>0.41899999999999998</v>
      </c>
      <c r="U86" s="315">
        <v>9.106057387715603E-4</v>
      </c>
      <c r="V86" s="73"/>
      <c r="W86" s="18"/>
      <c r="X86" s="19"/>
      <c r="Y86" s="20"/>
      <c r="Z86" s="20"/>
      <c r="AA86" s="21"/>
      <c r="AB86" s="22"/>
      <c r="AD86" s="27"/>
      <c r="AE86" s="27"/>
      <c r="AF86" s="27"/>
      <c r="AG86" s="27"/>
      <c r="AH86" s="27"/>
      <c r="AI86" s="27"/>
      <c r="AN86" s="58"/>
      <c r="AO86" s="58"/>
      <c r="AP86" s="58"/>
    </row>
    <row r="87" spans="1:42">
      <c r="A87" s="290">
        <v>85</v>
      </c>
      <c r="B87" s="288" t="s">
        <v>448</v>
      </c>
      <c r="C87" s="289" t="s">
        <v>446</v>
      </c>
      <c r="D87" s="289" t="s">
        <v>1627</v>
      </c>
      <c r="E87" s="288" t="s">
        <v>188</v>
      </c>
      <c r="F87" s="288" t="s">
        <v>449</v>
      </c>
      <c r="G87" s="288" t="s">
        <v>450</v>
      </c>
      <c r="H87" s="288"/>
      <c r="I87" s="304">
        <v>8.2032589126726171E-4</v>
      </c>
      <c r="J87" s="305">
        <v>3.6778523489932879E-3</v>
      </c>
      <c r="K87" s="305">
        <v>1.0800000000000001E-4</v>
      </c>
      <c r="L87" s="306">
        <v>125</v>
      </c>
      <c r="M87" s="305">
        <f t="shared" si="21"/>
        <v>0.125</v>
      </c>
      <c r="N87" s="305">
        <f t="shared" si="22"/>
        <v>0.125</v>
      </c>
      <c r="O87" s="307">
        <v>1.4179999999999998E-3</v>
      </c>
      <c r="P87" s="289" t="s">
        <v>451</v>
      </c>
      <c r="Q87" s="288" t="s">
        <v>448</v>
      </c>
      <c r="R87" s="302">
        <v>8.2032589126726171E-4</v>
      </c>
      <c r="S87" s="302">
        <v>3.6778523489932879E-3</v>
      </c>
      <c r="T87" s="302">
        <v>0.125</v>
      </c>
      <c r="U87" s="302">
        <v>1.4179999999999998E-3</v>
      </c>
      <c r="V87" s="17"/>
      <c r="W87" s="18"/>
      <c r="X87" s="19"/>
      <c r="Y87" s="20"/>
      <c r="Z87" s="20"/>
      <c r="AA87" s="21"/>
      <c r="AB87" s="22"/>
      <c r="AD87" s="27"/>
      <c r="AE87" s="27"/>
      <c r="AF87" s="27"/>
      <c r="AG87" s="27"/>
      <c r="AH87" s="27"/>
      <c r="AI87" s="27"/>
      <c r="AN87" s="58"/>
      <c r="AO87" s="58"/>
      <c r="AP87" s="58"/>
    </row>
    <row r="88" spans="1:42">
      <c r="A88" s="288">
        <v>104</v>
      </c>
      <c r="B88" s="288" t="s">
        <v>452</v>
      </c>
      <c r="C88" s="289" t="s">
        <v>446</v>
      </c>
      <c r="D88" s="289" t="s">
        <v>1627</v>
      </c>
      <c r="E88" s="288" t="s">
        <v>188</v>
      </c>
      <c r="F88" s="288" t="s">
        <v>452</v>
      </c>
      <c r="G88" s="288" t="s">
        <v>453</v>
      </c>
      <c r="H88" s="288"/>
      <c r="I88" s="316">
        <v>2.4663841103631703E-3</v>
      </c>
      <c r="J88" s="305">
        <v>2.0360674810936601E-2</v>
      </c>
      <c r="K88" s="305">
        <v>5.4639175257731962E-5</v>
      </c>
      <c r="L88" s="306">
        <v>2524</v>
      </c>
      <c r="M88" s="305">
        <f t="shared" si="21"/>
        <v>2.524</v>
      </c>
      <c r="N88" s="305">
        <f t="shared" si="22"/>
        <v>2.524</v>
      </c>
      <c r="O88" s="307">
        <v>2.7273704167221988E-4</v>
      </c>
      <c r="P88" s="289" t="s">
        <v>454</v>
      </c>
      <c r="Q88" s="288" t="s">
        <v>452</v>
      </c>
      <c r="R88" s="302">
        <v>2.4663841103631703E-3</v>
      </c>
      <c r="S88" s="302">
        <v>2.0360674810936601E-2</v>
      </c>
      <c r="T88" s="302">
        <v>2.524</v>
      </c>
      <c r="U88" s="302">
        <v>2.7273704167221988E-4</v>
      </c>
      <c r="V88" s="48"/>
      <c r="W88" s="18"/>
      <c r="X88" s="19"/>
      <c r="Y88" s="20"/>
      <c r="Z88" s="20"/>
      <c r="AA88" s="21"/>
      <c r="AB88" s="22"/>
      <c r="AD88" s="27"/>
      <c r="AE88" s="27"/>
      <c r="AF88" s="27"/>
      <c r="AG88" s="27"/>
      <c r="AH88" s="27"/>
      <c r="AI88" s="27"/>
      <c r="AN88" s="58"/>
      <c r="AO88" s="58"/>
      <c r="AP88" s="58"/>
    </row>
    <row r="89" spans="1:42">
      <c r="A89" s="290">
        <v>105</v>
      </c>
      <c r="B89" s="289" t="s">
        <v>455</v>
      </c>
      <c r="C89" s="289" t="s">
        <v>446</v>
      </c>
      <c r="D89" s="289" t="s">
        <v>1627</v>
      </c>
      <c r="E89" s="288" t="s">
        <v>188</v>
      </c>
      <c r="F89" s="289" t="s">
        <v>455</v>
      </c>
      <c r="G89" s="311" t="s">
        <v>1628</v>
      </c>
      <c r="H89" s="288"/>
      <c r="I89" s="304">
        <v>4.18475450981867E-4</v>
      </c>
      <c r="J89" s="305">
        <v>8.6483234472969298E-3</v>
      </c>
      <c r="K89" s="305">
        <v>1.2528735632183908E-4</v>
      </c>
      <c r="L89" s="306">
        <v>1053</v>
      </c>
      <c r="M89" s="305">
        <f t="shared" si="21"/>
        <v>1.0529999999999999</v>
      </c>
      <c r="N89" s="305">
        <f t="shared" si="22"/>
        <v>1.0529999999999999</v>
      </c>
      <c r="O89" s="307">
        <v>3.0408612692190031E-4</v>
      </c>
      <c r="P89" s="289" t="s">
        <v>456</v>
      </c>
      <c r="Q89" s="289" t="s">
        <v>455</v>
      </c>
      <c r="R89" s="302">
        <v>4.18475450981867E-4</v>
      </c>
      <c r="S89" s="302">
        <v>8.6483234472969298E-3</v>
      </c>
      <c r="T89" s="302">
        <v>1.0529999999999999</v>
      </c>
      <c r="U89" s="302">
        <v>3.0408612692190031E-4</v>
      </c>
      <c r="V89" s="17"/>
      <c r="W89" s="18"/>
      <c r="X89" s="19"/>
      <c r="Y89" s="20"/>
      <c r="Z89" s="20"/>
      <c r="AA89" s="21"/>
      <c r="AB89" s="22"/>
      <c r="AD89" s="27"/>
      <c r="AE89" s="27"/>
      <c r="AF89" s="27"/>
      <c r="AG89" s="27"/>
      <c r="AH89" s="27"/>
      <c r="AI89" s="27"/>
      <c r="AN89" s="58"/>
      <c r="AO89" s="58"/>
      <c r="AP89" s="58"/>
    </row>
    <row r="90" spans="1:42">
      <c r="A90" s="288">
        <v>87</v>
      </c>
      <c r="B90" s="289" t="s">
        <v>457</v>
      </c>
      <c r="C90" s="289" t="s">
        <v>446</v>
      </c>
      <c r="D90" s="289" t="s">
        <v>1629</v>
      </c>
      <c r="E90" s="288" t="s">
        <v>188</v>
      </c>
      <c r="F90" s="288" t="s">
        <v>457</v>
      </c>
      <c r="G90" s="311" t="s">
        <v>1630</v>
      </c>
      <c r="H90" s="288"/>
      <c r="I90" s="304">
        <v>1.08830216354969E-3</v>
      </c>
      <c r="J90" s="305">
        <v>1.5829360713849203E-2</v>
      </c>
      <c r="K90" s="305">
        <v>1.8085106382978726E-4</v>
      </c>
      <c r="L90" s="306">
        <v>1666</v>
      </c>
      <c r="M90" s="305">
        <f t="shared" si="21"/>
        <v>1.6659999999999999</v>
      </c>
      <c r="N90" s="305">
        <f t="shared" si="22"/>
        <v>1.6659999999999999</v>
      </c>
      <c r="O90" s="307">
        <v>8.1696188617021279E-4</v>
      </c>
      <c r="P90" s="289" t="s">
        <v>458</v>
      </c>
      <c r="Q90" s="289" t="s">
        <v>457</v>
      </c>
      <c r="R90" s="302">
        <v>1.08830216354969E-3</v>
      </c>
      <c r="S90" s="302">
        <v>1.5829360713849203E-2</v>
      </c>
      <c r="T90" s="302">
        <v>1.6659999999999999</v>
      </c>
      <c r="U90" s="302">
        <v>8.1696188617021279E-4</v>
      </c>
      <c r="V90" s="17"/>
      <c r="W90" s="18"/>
      <c r="X90" s="19"/>
      <c r="Y90" s="20"/>
      <c r="Z90" s="20"/>
      <c r="AA90" s="21"/>
      <c r="AB90" s="22"/>
      <c r="AD90" s="27"/>
      <c r="AE90" s="27"/>
      <c r="AF90" s="27"/>
      <c r="AG90" s="27"/>
      <c r="AH90" s="27"/>
      <c r="AI90" s="27"/>
      <c r="AN90" s="58"/>
      <c r="AO90" s="58"/>
      <c r="AP90" s="58"/>
    </row>
    <row r="91" spans="1:42">
      <c r="A91" s="288">
        <v>93</v>
      </c>
      <c r="B91" s="288" t="s">
        <v>459</v>
      </c>
      <c r="C91" s="289" t="s">
        <v>446</v>
      </c>
      <c r="D91" s="289" t="s">
        <v>1629</v>
      </c>
      <c r="E91" s="288" t="s">
        <v>460</v>
      </c>
      <c r="F91" s="288" t="s">
        <v>460</v>
      </c>
      <c r="G91" s="311" t="s">
        <v>1631</v>
      </c>
      <c r="H91" s="288"/>
      <c r="I91" s="304">
        <v>9.6530647293316797E-4</v>
      </c>
      <c r="J91" s="305">
        <v>1.9624016847597899E-2</v>
      </c>
      <c r="K91" s="305">
        <v>1.5714285714285716E-4</v>
      </c>
      <c r="L91" s="306">
        <v>962</v>
      </c>
      <c r="M91" s="305">
        <f t="shared" si="21"/>
        <v>0.96199999999999997</v>
      </c>
      <c r="N91" s="305">
        <f t="shared" si="22"/>
        <v>0.96199999999999997</v>
      </c>
      <c r="O91" s="307">
        <v>6.7713464334216039E-4</v>
      </c>
      <c r="P91" s="288" t="s">
        <v>461</v>
      </c>
      <c r="Q91" s="288" t="s">
        <v>459</v>
      </c>
      <c r="R91" s="302">
        <v>9.6530647293316797E-4</v>
      </c>
      <c r="S91" s="302">
        <v>1.9624016847597899E-2</v>
      </c>
      <c r="T91" s="302">
        <v>0.96199999999999997</v>
      </c>
      <c r="U91" s="302">
        <v>6.7713464334216039E-4</v>
      </c>
      <c r="V91" s="48"/>
      <c r="W91" s="18"/>
      <c r="X91" s="19"/>
      <c r="Y91" s="20"/>
      <c r="Z91" s="20"/>
      <c r="AA91" s="21"/>
      <c r="AB91" s="22"/>
      <c r="AD91" s="27"/>
      <c r="AE91" s="27"/>
      <c r="AF91" s="27"/>
      <c r="AG91" s="27"/>
      <c r="AH91" s="27"/>
      <c r="AI91" s="27"/>
      <c r="AN91" s="58"/>
      <c r="AO91" s="58"/>
      <c r="AP91" s="58"/>
    </row>
    <row r="92" spans="1:42">
      <c r="A92" s="288">
        <v>88</v>
      </c>
      <c r="B92" s="288" t="s">
        <v>462</v>
      </c>
      <c r="C92" s="289" t="s">
        <v>446</v>
      </c>
      <c r="D92" s="289" t="s">
        <v>1632</v>
      </c>
      <c r="E92" s="288" t="s">
        <v>188</v>
      </c>
      <c r="F92" s="288" t="s">
        <v>463</v>
      </c>
      <c r="G92" s="288" t="s">
        <v>453</v>
      </c>
      <c r="H92" s="288"/>
      <c r="I92" s="304">
        <v>1.109195941E-3</v>
      </c>
      <c r="J92" s="305">
        <v>5.4815712449999996E-3</v>
      </c>
      <c r="K92" s="305">
        <v>1.0319148936170213E-4</v>
      </c>
      <c r="L92" s="306">
        <v>3465</v>
      </c>
      <c r="M92" s="305">
        <f t="shared" si="21"/>
        <v>3.4649999999999999</v>
      </c>
      <c r="N92" s="305">
        <f t="shared" si="22"/>
        <v>3.4649999999999999</v>
      </c>
      <c r="O92" s="307">
        <v>6.1760631205673758E-4</v>
      </c>
      <c r="P92" s="289" t="s">
        <v>464</v>
      </c>
      <c r="Q92" s="288" t="s">
        <v>462</v>
      </c>
      <c r="R92" s="302">
        <v>1.109195941E-3</v>
      </c>
      <c r="S92" s="302">
        <v>5.4815712449999996E-3</v>
      </c>
      <c r="T92" s="302">
        <v>3.4649999999999999</v>
      </c>
      <c r="U92" s="302">
        <v>6.1760631205673758E-4</v>
      </c>
      <c r="V92" s="17"/>
      <c r="W92" s="18"/>
      <c r="X92" s="19"/>
      <c r="Y92" s="20"/>
      <c r="Z92" s="20"/>
      <c r="AA92" s="21"/>
      <c r="AB92" s="22"/>
      <c r="AH92" s="27"/>
      <c r="AI92" s="27"/>
      <c r="AN92" s="58"/>
      <c r="AO92" s="58"/>
      <c r="AP92" s="58"/>
    </row>
    <row r="93" spans="1:42">
      <c r="A93" s="288">
        <v>90</v>
      </c>
      <c r="B93" s="288" t="s">
        <v>463</v>
      </c>
      <c r="C93" s="289" t="s">
        <v>446</v>
      </c>
      <c r="D93" s="289" t="s">
        <v>1632</v>
      </c>
      <c r="E93" s="288" t="s">
        <v>188</v>
      </c>
      <c r="F93" s="288" t="s">
        <v>462</v>
      </c>
      <c r="G93" s="288" t="s">
        <v>465</v>
      </c>
      <c r="H93" s="288"/>
      <c r="I93" s="304">
        <v>1.109195941E-3</v>
      </c>
      <c r="J93" s="305">
        <v>5.4815712449999996E-3</v>
      </c>
      <c r="K93" s="305">
        <v>1.0319148936170213E-4</v>
      </c>
      <c r="L93" s="306">
        <v>3465</v>
      </c>
      <c r="M93" s="305">
        <f t="shared" si="21"/>
        <v>3.4649999999999999</v>
      </c>
      <c r="N93" s="305">
        <f t="shared" si="22"/>
        <v>3.4649999999999999</v>
      </c>
      <c r="O93" s="307">
        <v>3.8698117021276597E-4</v>
      </c>
      <c r="P93" s="289" t="s">
        <v>466</v>
      </c>
      <c r="Q93" s="288" t="s">
        <v>463</v>
      </c>
      <c r="R93" s="302">
        <v>1.109195941E-3</v>
      </c>
      <c r="S93" s="302">
        <v>5.4815712449999996E-3</v>
      </c>
      <c r="T93" s="302">
        <v>3.4649999999999999</v>
      </c>
      <c r="U93" s="302">
        <v>3.8698117021276597E-4</v>
      </c>
      <c r="V93" s="17"/>
      <c r="W93" s="18"/>
      <c r="X93" s="19"/>
      <c r="Y93" s="20"/>
      <c r="Z93" s="20"/>
      <c r="AA93" s="21"/>
      <c r="AB93" s="22"/>
      <c r="AH93" s="27"/>
      <c r="AI93" s="27"/>
      <c r="AN93" s="58"/>
      <c r="AO93" s="58"/>
      <c r="AP93" s="58"/>
    </row>
    <row r="94" spans="1:42">
      <c r="A94" s="290">
        <v>91</v>
      </c>
      <c r="B94" s="288" t="s">
        <v>467</v>
      </c>
      <c r="C94" s="289" t="s">
        <v>446</v>
      </c>
      <c r="D94" s="289" t="s">
        <v>1632</v>
      </c>
      <c r="E94" s="288" t="s">
        <v>188</v>
      </c>
      <c r="F94" s="288" t="s">
        <v>462</v>
      </c>
      <c r="G94" s="288" t="s">
        <v>465</v>
      </c>
      <c r="H94" s="288"/>
      <c r="I94" s="304">
        <v>1.109195941E-3</v>
      </c>
      <c r="J94" s="305">
        <v>5.4815712449999996E-3</v>
      </c>
      <c r="K94" s="305">
        <v>1.0319148936170213E-4</v>
      </c>
      <c r="L94" s="306">
        <v>3465</v>
      </c>
      <c r="M94" s="305">
        <f t="shared" si="21"/>
        <v>3.4649999999999999</v>
      </c>
      <c r="N94" s="305">
        <f t="shared" si="22"/>
        <v>3.4649999999999999</v>
      </c>
      <c r="O94" s="307">
        <v>5.0229370000000003E-4</v>
      </c>
      <c r="P94" s="289" t="s">
        <v>468</v>
      </c>
      <c r="Q94" s="288" t="s">
        <v>467</v>
      </c>
      <c r="R94" s="302">
        <v>1.109195941E-3</v>
      </c>
      <c r="S94" s="302">
        <v>5.4815712449999996E-3</v>
      </c>
      <c r="T94" s="302">
        <v>3.4649999999999999</v>
      </c>
      <c r="U94" s="302">
        <v>5.0229370000000003E-4</v>
      </c>
      <c r="V94" s="17"/>
      <c r="W94" s="18"/>
      <c r="X94" s="19"/>
      <c r="Y94" s="20"/>
      <c r="Z94" s="20"/>
      <c r="AA94" s="21"/>
      <c r="AB94" s="22"/>
      <c r="AH94" s="27"/>
      <c r="AI94" s="27"/>
      <c r="AN94" s="58"/>
      <c r="AO94" s="58"/>
      <c r="AP94" s="58"/>
    </row>
    <row r="95" spans="1:42">
      <c r="A95" s="288">
        <v>84</v>
      </c>
      <c r="B95" s="288" t="s">
        <v>469</v>
      </c>
      <c r="C95" s="289" t="s">
        <v>446</v>
      </c>
      <c r="D95" s="289" t="s">
        <v>1633</v>
      </c>
      <c r="E95" s="288" t="s">
        <v>188</v>
      </c>
      <c r="F95" s="288" t="s">
        <v>470</v>
      </c>
      <c r="G95" s="311" t="s">
        <v>1634</v>
      </c>
      <c r="H95" s="288"/>
      <c r="I95" s="304">
        <v>5.8970014450866999E-3</v>
      </c>
      <c r="J95" s="305">
        <v>9.2947174052665296E-2</v>
      </c>
      <c r="K95" s="305">
        <v>5.3866776803454815E-5</v>
      </c>
      <c r="L95" s="306">
        <v>3041</v>
      </c>
      <c r="M95" s="305">
        <f t="shared" si="21"/>
        <v>3.0409999999999999</v>
      </c>
      <c r="N95" s="305">
        <f t="shared" si="22"/>
        <v>3.0409999999999999</v>
      </c>
      <c r="O95" s="307">
        <v>2.6455493042205327E-4</v>
      </c>
      <c r="P95" s="289" t="s">
        <v>471</v>
      </c>
      <c r="Q95" s="288" t="s">
        <v>469</v>
      </c>
      <c r="R95" s="315">
        <v>5.8970014450866999E-3</v>
      </c>
      <c r="S95" s="315">
        <v>9.2947174052665296E-2</v>
      </c>
      <c r="T95" s="315">
        <v>3.0409999999999999</v>
      </c>
      <c r="U95" s="315">
        <v>4.8999999999999998E-4</v>
      </c>
      <c r="V95" s="73"/>
      <c r="W95" s="18"/>
      <c r="X95" s="19"/>
      <c r="Y95" s="20"/>
      <c r="Z95" s="20"/>
      <c r="AA95" s="21"/>
      <c r="AB95" s="22"/>
      <c r="AD95" s="27"/>
      <c r="AE95" s="27"/>
      <c r="AF95" s="27"/>
      <c r="AG95" s="27"/>
      <c r="AH95" s="27"/>
      <c r="AI95" s="27"/>
      <c r="AN95" s="58"/>
      <c r="AO95" s="58"/>
      <c r="AP95" s="58"/>
    </row>
    <row r="96" spans="1:42">
      <c r="A96" s="288">
        <v>92</v>
      </c>
      <c r="B96" s="288" t="s">
        <v>472</v>
      </c>
      <c r="C96" s="289" t="s">
        <v>446</v>
      </c>
      <c r="D96" s="289" t="s">
        <v>1633</v>
      </c>
      <c r="E96" s="288"/>
      <c r="F96" s="288"/>
      <c r="G96" s="288"/>
      <c r="H96" s="288"/>
      <c r="I96" s="304"/>
      <c r="J96" s="305"/>
      <c r="K96" s="305"/>
      <c r="L96" s="306"/>
      <c r="M96" s="305"/>
      <c r="N96" s="305"/>
      <c r="O96" s="307"/>
      <c r="P96" s="289" t="s">
        <v>473</v>
      </c>
      <c r="Q96" s="288" t="s">
        <v>472</v>
      </c>
      <c r="R96" s="302">
        <v>2.0160024701523199E-2</v>
      </c>
      <c r="S96" s="302">
        <v>0.210580485796624</v>
      </c>
      <c r="T96" s="302">
        <v>3.3660000000000001</v>
      </c>
      <c r="U96" s="302">
        <v>1.3227746521102664E-4</v>
      </c>
      <c r="V96" s="17"/>
      <c r="W96" s="18"/>
      <c r="X96" s="19"/>
      <c r="Y96" s="20"/>
      <c r="Z96" s="20"/>
      <c r="AA96" s="21"/>
      <c r="AB96" s="22"/>
      <c r="AD96" s="27"/>
      <c r="AE96" s="27"/>
      <c r="AF96" s="27"/>
      <c r="AG96" s="27"/>
      <c r="AH96" s="27"/>
      <c r="AI96" s="27"/>
      <c r="AN96" s="58"/>
      <c r="AO96" s="58"/>
      <c r="AP96" s="58"/>
    </row>
    <row r="97" spans="1:42">
      <c r="A97" s="288">
        <v>107</v>
      </c>
      <c r="B97" s="288" t="s">
        <v>1009</v>
      </c>
      <c r="C97" s="289" t="s">
        <v>446</v>
      </c>
      <c r="D97" s="289" t="s">
        <v>1633</v>
      </c>
      <c r="E97" s="288" t="s">
        <v>474</v>
      </c>
      <c r="F97" s="288" t="s">
        <v>474</v>
      </c>
      <c r="G97" s="311" t="s">
        <v>1635</v>
      </c>
      <c r="H97" s="288"/>
      <c r="I97" s="304">
        <v>1.1000494215432999E-3</v>
      </c>
      <c r="J97" s="305">
        <v>1.5073570706503401E-2</v>
      </c>
      <c r="K97" s="305">
        <v>5.4347826086956524E-5</v>
      </c>
      <c r="L97" s="306">
        <v>1531</v>
      </c>
      <c r="M97" s="305">
        <f t="shared" ref="M97:M100" si="24">L97/1000</f>
        <v>1.5309999999999999</v>
      </c>
      <c r="N97" s="305">
        <f t="shared" ref="N97:N100" si="25">L97/1000</f>
        <v>1.5309999999999999</v>
      </c>
      <c r="O97" s="307">
        <v>2.8755970698049265E-4</v>
      </c>
      <c r="P97" s="288" t="s">
        <v>475</v>
      </c>
      <c r="Q97" s="288" t="s">
        <v>1009</v>
      </c>
      <c r="R97" s="302">
        <v>1.1000494215432999E-3</v>
      </c>
      <c r="S97" s="302">
        <v>1.5073570706503401E-2</v>
      </c>
      <c r="T97" s="302">
        <v>1.5309999999999999</v>
      </c>
      <c r="U97" s="302">
        <v>1.946E-3</v>
      </c>
      <c r="V97" s="17"/>
      <c r="W97" s="18"/>
      <c r="X97" s="19"/>
      <c r="Y97" s="20"/>
      <c r="Z97" s="20"/>
      <c r="AA97" s="21"/>
      <c r="AB97" s="22"/>
      <c r="AD97" s="27"/>
      <c r="AE97" s="27"/>
      <c r="AF97" s="27"/>
      <c r="AG97" s="27"/>
      <c r="AH97" s="27"/>
      <c r="AI97" s="27"/>
      <c r="AN97" s="58"/>
      <c r="AO97" s="58"/>
      <c r="AP97" s="58"/>
    </row>
    <row r="98" spans="1:42">
      <c r="A98" s="288">
        <v>76</v>
      </c>
      <c r="B98" s="288" t="s">
        <v>476</v>
      </c>
      <c r="C98" s="289" t="s">
        <v>446</v>
      </c>
      <c r="D98" s="289" t="s">
        <v>1636</v>
      </c>
      <c r="E98" s="288" t="s">
        <v>188</v>
      </c>
      <c r="F98" s="288" t="s">
        <v>476</v>
      </c>
      <c r="G98" s="303" t="s">
        <v>477</v>
      </c>
      <c r="H98" s="303"/>
      <c r="I98" s="304">
        <v>5.3660800389999995E-4</v>
      </c>
      <c r="J98" s="305">
        <v>2.8929604629999999E-3</v>
      </c>
      <c r="K98" s="305">
        <v>1.75E-4</v>
      </c>
      <c r="L98" s="306">
        <v>594</v>
      </c>
      <c r="M98" s="305">
        <f t="shared" si="24"/>
        <v>0.59399999999999997</v>
      </c>
      <c r="N98" s="305">
        <f t="shared" si="25"/>
        <v>0.59399999999999997</v>
      </c>
      <c r="O98" s="307">
        <v>2.6107342105263152E-4</v>
      </c>
      <c r="P98" s="289" t="s">
        <v>478</v>
      </c>
      <c r="Q98" s="288" t="s">
        <v>476</v>
      </c>
      <c r="R98" s="302">
        <v>5.3660800389999995E-4</v>
      </c>
      <c r="S98" s="302">
        <v>2.8929604629999999E-3</v>
      </c>
      <c r="T98" s="302">
        <v>0.59399999999999997</v>
      </c>
      <c r="U98" s="302">
        <v>2.6107342105263152E-4</v>
      </c>
      <c r="V98" s="17"/>
      <c r="W98" s="18"/>
      <c r="X98" s="19"/>
      <c r="Y98" s="20"/>
      <c r="Z98" s="20"/>
      <c r="AA98" s="21"/>
      <c r="AB98" s="22"/>
      <c r="AD98" s="27"/>
      <c r="AE98" s="27"/>
      <c r="AF98" s="27"/>
      <c r="AG98" s="27"/>
      <c r="AH98" s="27"/>
      <c r="AI98" s="27"/>
      <c r="AN98" s="58"/>
      <c r="AO98" s="58"/>
      <c r="AP98" s="58"/>
    </row>
    <row r="99" spans="1:42">
      <c r="A99" s="290">
        <v>99</v>
      </c>
      <c r="B99" s="288" t="s">
        <v>479</v>
      </c>
      <c r="C99" s="289" t="s">
        <v>446</v>
      </c>
      <c r="D99" s="289" t="s">
        <v>1636</v>
      </c>
      <c r="E99" s="288" t="s">
        <v>188</v>
      </c>
      <c r="F99" s="288" t="s">
        <v>479</v>
      </c>
      <c r="G99" s="311" t="s">
        <v>1637</v>
      </c>
      <c r="H99" s="288"/>
      <c r="I99" s="304">
        <v>5.2339736232043406E-4</v>
      </c>
      <c r="J99" s="305">
        <v>4.8498643654599103E-3</v>
      </c>
      <c r="K99" s="305">
        <v>1.205128205128205E-4</v>
      </c>
      <c r="L99" s="306">
        <v>1023</v>
      </c>
      <c r="M99" s="305">
        <f t="shared" si="24"/>
        <v>1.0229999999999999</v>
      </c>
      <c r="N99" s="305">
        <f t="shared" si="25"/>
        <v>1.0229999999999999</v>
      </c>
      <c r="O99" s="307">
        <v>4.2396623465072643E-4</v>
      </c>
      <c r="P99" s="288" t="s">
        <v>480</v>
      </c>
      <c r="Q99" s="288" t="s">
        <v>479</v>
      </c>
      <c r="R99" s="315">
        <v>5.2339736232043406E-4</v>
      </c>
      <c r="S99" s="315">
        <v>4.8498643654599103E-3</v>
      </c>
      <c r="T99" s="315">
        <v>1.0229999999999999</v>
      </c>
      <c r="U99" s="315">
        <v>4.2396623465072643E-4</v>
      </c>
      <c r="V99" s="73"/>
      <c r="W99" s="18"/>
      <c r="X99" s="19"/>
      <c r="Y99" s="20"/>
      <c r="Z99" s="20"/>
      <c r="AA99" s="21"/>
      <c r="AB99" s="22"/>
      <c r="AD99" s="27"/>
      <c r="AE99" s="27"/>
      <c r="AF99" s="27"/>
      <c r="AG99" s="27"/>
      <c r="AH99" s="27"/>
      <c r="AI99" s="27"/>
      <c r="AN99" s="58"/>
      <c r="AO99" s="58"/>
      <c r="AP99" s="58"/>
    </row>
    <row r="100" spans="1:42">
      <c r="A100" s="290">
        <v>79</v>
      </c>
      <c r="B100" s="288" t="s">
        <v>481</v>
      </c>
      <c r="C100" s="289" t="s">
        <v>446</v>
      </c>
      <c r="D100" s="289" t="s">
        <v>1638</v>
      </c>
      <c r="E100" s="288" t="s">
        <v>446</v>
      </c>
      <c r="F100" s="288" t="s">
        <v>482</v>
      </c>
      <c r="G100" s="311" t="s">
        <v>1630</v>
      </c>
      <c r="H100" s="288"/>
      <c r="I100" s="304">
        <v>1.4295205567493299E-3</v>
      </c>
      <c r="J100" s="305">
        <v>1.3486951812447402E-2</v>
      </c>
      <c r="K100" s="305">
        <v>5.3404255319148934E-4</v>
      </c>
      <c r="L100" s="306">
        <v>6709</v>
      </c>
      <c r="M100" s="305">
        <f t="shared" si="24"/>
        <v>6.7089999999999996</v>
      </c>
      <c r="N100" s="305">
        <f t="shared" si="25"/>
        <v>6.7089999999999996</v>
      </c>
      <c r="O100" s="307">
        <v>2.3453451278550826E-4</v>
      </c>
      <c r="P100" s="289" t="s">
        <v>483</v>
      </c>
      <c r="Q100" s="288" t="s">
        <v>481</v>
      </c>
      <c r="R100" s="302">
        <v>1.4295205567493299E-3</v>
      </c>
      <c r="S100" s="302">
        <v>1.3486951812447402E-2</v>
      </c>
      <c r="T100" s="302">
        <v>6.7089999999999996</v>
      </c>
      <c r="U100" s="302">
        <v>2.3453451278550826E-4</v>
      </c>
      <c r="V100" s="17"/>
      <c r="W100" s="18"/>
      <c r="X100" s="19"/>
      <c r="Y100" s="20"/>
      <c r="Z100" s="20"/>
      <c r="AA100" s="21"/>
      <c r="AB100" s="22"/>
      <c r="AD100" s="27"/>
      <c r="AE100" s="27"/>
      <c r="AF100" s="27"/>
      <c r="AG100" s="27"/>
      <c r="AH100" s="27"/>
      <c r="AI100" s="27"/>
      <c r="AN100" s="58"/>
      <c r="AO100" s="58"/>
      <c r="AP100" s="58"/>
    </row>
    <row r="101" spans="1:42">
      <c r="A101" s="288">
        <v>96</v>
      </c>
      <c r="B101" s="288" t="s">
        <v>484</v>
      </c>
      <c r="C101" s="289" t="s">
        <v>446</v>
      </c>
      <c r="D101" s="289" t="s">
        <v>1638</v>
      </c>
      <c r="E101" s="288"/>
      <c r="F101" s="288"/>
      <c r="G101" s="288"/>
      <c r="H101" s="288"/>
      <c r="I101" s="304"/>
      <c r="J101" s="305"/>
      <c r="K101" s="305"/>
      <c r="L101" s="306"/>
      <c r="M101" s="305"/>
      <c r="N101" s="305"/>
      <c r="O101" s="307"/>
      <c r="P101" s="288" t="s">
        <v>485</v>
      </c>
      <c r="Q101" s="288" t="s">
        <v>484</v>
      </c>
      <c r="R101" s="302">
        <v>5.5555555555555556E-4</v>
      </c>
      <c r="S101" s="302">
        <v>4.3647058819999999E-4</v>
      </c>
      <c r="T101" s="302">
        <v>3.6880000000000002</v>
      </c>
      <c r="U101" s="302">
        <v>9.9208098908269986E-4</v>
      </c>
      <c r="V101" s="48"/>
      <c r="W101" s="18"/>
      <c r="X101" s="19"/>
      <c r="Y101" s="20"/>
      <c r="Z101" s="20"/>
      <c r="AA101" s="21"/>
      <c r="AB101" s="22"/>
      <c r="AD101" s="27"/>
      <c r="AE101" s="27"/>
      <c r="AF101" s="27"/>
      <c r="AG101" s="27"/>
      <c r="AH101" s="27"/>
      <c r="AI101" s="27"/>
      <c r="AN101" s="58"/>
      <c r="AO101" s="58"/>
      <c r="AP101" s="58"/>
    </row>
    <row r="102" spans="1:42">
      <c r="A102" s="288">
        <v>97</v>
      </c>
      <c r="B102" s="289" t="s">
        <v>486</v>
      </c>
      <c r="C102" s="289" t="s">
        <v>446</v>
      </c>
      <c r="D102" s="289" t="s">
        <v>1638</v>
      </c>
      <c r="E102" s="288" t="s">
        <v>188</v>
      </c>
      <c r="F102" s="289" t="s">
        <v>486</v>
      </c>
      <c r="G102" s="311" t="s">
        <v>1639</v>
      </c>
      <c r="H102" s="288"/>
      <c r="I102" s="304">
        <v>1.1328228175540001E-3</v>
      </c>
      <c r="J102" s="305">
        <v>1.1196667334361301E-2</v>
      </c>
      <c r="K102" s="305">
        <v>2.4736842105263154E-4</v>
      </c>
      <c r="L102" s="306">
        <v>3487</v>
      </c>
      <c r="M102" s="305">
        <f t="shared" ref="M102:M105" si="26">L102/1000</f>
        <v>3.4870000000000001</v>
      </c>
      <c r="N102" s="305">
        <f t="shared" ref="N102:N105" si="27">L102/1000</f>
        <v>3.4870000000000001</v>
      </c>
      <c r="O102" s="307">
        <v>2.2046244201837776E-4</v>
      </c>
      <c r="P102" s="289" t="s">
        <v>487</v>
      </c>
      <c r="Q102" s="289" t="s">
        <v>486</v>
      </c>
      <c r="R102" s="302">
        <v>1.1328228175540001E-3</v>
      </c>
      <c r="S102" s="302">
        <v>1.1196667334361301E-2</v>
      </c>
      <c r="T102" s="302">
        <v>3.4870000000000001</v>
      </c>
      <c r="U102" s="302">
        <v>2.2046244201837776E-4</v>
      </c>
      <c r="V102" s="48"/>
      <c r="W102" s="18"/>
      <c r="X102" s="19"/>
      <c r="Y102" s="20"/>
      <c r="Z102" s="20"/>
      <c r="AA102" s="21"/>
      <c r="AB102" s="22"/>
      <c r="AD102" s="27"/>
      <c r="AE102" s="27"/>
      <c r="AF102" s="27"/>
      <c r="AG102" s="27"/>
      <c r="AH102" s="27"/>
      <c r="AI102" s="27"/>
      <c r="AN102" s="58"/>
      <c r="AO102" s="58"/>
      <c r="AP102" s="58"/>
    </row>
    <row r="103" spans="1:42">
      <c r="A103" s="288">
        <v>102</v>
      </c>
      <c r="B103" s="288" t="s">
        <v>488</v>
      </c>
      <c r="C103" s="289" t="s">
        <v>446</v>
      </c>
      <c r="D103" s="289" t="s">
        <v>1638</v>
      </c>
      <c r="E103" s="288" t="s">
        <v>188</v>
      </c>
      <c r="F103" s="288" t="s">
        <v>489</v>
      </c>
      <c r="G103" s="288" t="s">
        <v>490</v>
      </c>
      <c r="H103" s="288"/>
      <c r="I103" s="304">
        <v>5.0660244954948562E-4</v>
      </c>
      <c r="J103" s="305">
        <v>6.8589256235041763E-3</v>
      </c>
      <c r="K103" s="305">
        <v>2.2117647058823527E-4</v>
      </c>
      <c r="L103" s="306">
        <v>5383</v>
      </c>
      <c r="M103" s="305">
        <f t="shared" si="26"/>
        <v>5.383</v>
      </c>
      <c r="N103" s="305">
        <f t="shared" si="27"/>
        <v>5.383</v>
      </c>
      <c r="O103" s="307">
        <v>2.5936757884515029E-4</v>
      </c>
      <c r="P103" s="289" t="s">
        <v>491</v>
      </c>
      <c r="Q103" s="288" t="s">
        <v>488</v>
      </c>
      <c r="R103" s="302">
        <v>5.0660244954948562E-4</v>
      </c>
      <c r="S103" s="302">
        <v>6.8589256235041763E-3</v>
      </c>
      <c r="T103" s="302">
        <v>5.383</v>
      </c>
      <c r="U103" s="302">
        <v>2.5936757884515029E-4</v>
      </c>
      <c r="V103" s="17"/>
      <c r="W103" s="18"/>
      <c r="X103" s="19"/>
      <c r="Y103" s="20"/>
      <c r="Z103" s="20"/>
      <c r="AA103" s="21"/>
      <c r="AB103" s="22"/>
      <c r="AD103" s="27"/>
      <c r="AE103" s="27"/>
      <c r="AF103" s="27"/>
      <c r="AG103" s="27"/>
      <c r="AH103" s="27"/>
      <c r="AI103" s="27"/>
      <c r="AN103" s="58"/>
      <c r="AO103" s="58"/>
      <c r="AP103" s="58"/>
    </row>
    <row r="104" spans="1:42">
      <c r="A104" s="288">
        <v>80</v>
      </c>
      <c r="B104" s="289" t="s">
        <v>492</v>
      </c>
      <c r="C104" s="289" t="s">
        <v>446</v>
      </c>
      <c r="D104" s="289" t="s">
        <v>1640</v>
      </c>
      <c r="E104" s="288" t="s">
        <v>188</v>
      </c>
      <c r="F104" s="289" t="s">
        <v>492</v>
      </c>
      <c r="G104" s="288" t="s">
        <v>493</v>
      </c>
      <c r="H104" s="288"/>
      <c r="I104" s="304">
        <v>4.2641079069014702E-3</v>
      </c>
      <c r="J104" s="305">
        <v>3.0172608007591802E-2</v>
      </c>
      <c r="K104" s="305">
        <v>3.7733333333333331E-4</v>
      </c>
      <c r="L104" s="306">
        <v>7557</v>
      </c>
      <c r="M104" s="305">
        <f t="shared" si="26"/>
        <v>7.5570000000000004</v>
      </c>
      <c r="N104" s="305">
        <f t="shared" si="27"/>
        <v>7.5570000000000004</v>
      </c>
      <c r="O104" s="307">
        <v>1.0254471294296212E-3</v>
      </c>
      <c r="P104" s="289" t="s">
        <v>494</v>
      </c>
      <c r="Q104" s="289" t="s">
        <v>492</v>
      </c>
      <c r="R104" s="302">
        <v>4.2641079069014702E-3</v>
      </c>
      <c r="S104" s="302">
        <v>3.0172608007591802E-2</v>
      </c>
      <c r="T104" s="302">
        <v>7.5570000000000004</v>
      </c>
      <c r="U104" s="302">
        <v>1.0254471294296212E-3</v>
      </c>
      <c r="V104" s="17"/>
      <c r="W104" s="18"/>
      <c r="X104" s="19"/>
      <c r="Y104" s="20"/>
      <c r="Z104" s="20"/>
      <c r="AA104" s="21"/>
      <c r="AB104" s="22"/>
      <c r="AD104" s="27"/>
      <c r="AE104" s="27"/>
      <c r="AF104" s="27"/>
      <c r="AG104" s="27"/>
      <c r="AH104" s="27"/>
      <c r="AI104" s="27"/>
      <c r="AN104" s="58"/>
      <c r="AO104" s="58"/>
      <c r="AP104" s="58"/>
    </row>
    <row r="105" spans="1:42">
      <c r="A105" s="290">
        <v>81</v>
      </c>
      <c r="B105" s="288" t="s">
        <v>495</v>
      </c>
      <c r="C105" s="289" t="s">
        <v>446</v>
      </c>
      <c r="D105" s="289" t="s">
        <v>1640</v>
      </c>
      <c r="E105" s="288" t="s">
        <v>188</v>
      </c>
      <c r="F105" s="288" t="s">
        <v>495</v>
      </c>
      <c r="G105" s="288" t="s">
        <v>1010</v>
      </c>
      <c r="H105" s="288"/>
      <c r="I105" s="304">
        <v>6.0223214285714296E-4</v>
      </c>
      <c r="J105" s="305">
        <v>6.2001687102860702E-3</v>
      </c>
      <c r="K105" s="305">
        <v>1.4264705882352941E-4</v>
      </c>
      <c r="L105" s="306">
        <v>313</v>
      </c>
      <c r="M105" s="305">
        <f t="shared" si="26"/>
        <v>0.313</v>
      </c>
      <c r="N105" s="305">
        <f t="shared" si="27"/>
        <v>0.313</v>
      </c>
      <c r="O105" s="307">
        <v>3.8905136826772536E-4</v>
      </c>
      <c r="P105" s="289" t="s">
        <v>496</v>
      </c>
      <c r="Q105" s="288" t="s">
        <v>495</v>
      </c>
      <c r="R105" s="302">
        <v>6.0223214285714296E-4</v>
      </c>
      <c r="S105" s="302">
        <v>6.2001687102860702E-3</v>
      </c>
      <c r="T105" s="302">
        <v>0.313</v>
      </c>
      <c r="U105" s="302">
        <v>3.8905136826772536E-4</v>
      </c>
      <c r="V105" s="17"/>
      <c r="W105" s="18"/>
      <c r="X105" s="19"/>
      <c r="Y105" s="20"/>
      <c r="Z105" s="20"/>
      <c r="AA105" s="21"/>
      <c r="AB105" s="22"/>
      <c r="AD105" s="27"/>
      <c r="AE105" s="27"/>
      <c r="AF105" s="27"/>
      <c r="AG105" s="27"/>
      <c r="AH105" s="27"/>
      <c r="AI105" s="27"/>
      <c r="AN105" s="58"/>
      <c r="AO105" s="58"/>
      <c r="AP105" s="58"/>
    </row>
    <row r="106" spans="1:42">
      <c r="A106" s="288">
        <v>94</v>
      </c>
      <c r="B106" s="288" t="s">
        <v>497</v>
      </c>
      <c r="C106" s="289" t="s">
        <v>446</v>
      </c>
      <c r="D106" s="289" t="s">
        <v>1640</v>
      </c>
      <c r="E106" s="288"/>
      <c r="F106" s="288"/>
      <c r="G106" s="288"/>
      <c r="H106" s="288"/>
      <c r="I106" s="304"/>
      <c r="J106" s="305"/>
      <c r="K106" s="305"/>
      <c r="L106" s="306"/>
      <c r="M106" s="305"/>
      <c r="N106" s="305"/>
      <c r="O106" s="307"/>
      <c r="P106" s="288" t="s">
        <v>498</v>
      </c>
      <c r="Q106" s="288" t="s">
        <v>497</v>
      </c>
      <c r="R106" s="302">
        <v>3.8424591738712776E-4</v>
      </c>
      <c r="S106" s="302">
        <v>3.7848222862632082E-3</v>
      </c>
      <c r="T106" s="302">
        <v>4.8440000000000003</v>
      </c>
      <c r="U106" s="302">
        <v>8.52E-4</v>
      </c>
      <c r="V106" s="48"/>
      <c r="W106" s="18"/>
      <c r="X106" s="19"/>
      <c r="Y106" s="20"/>
      <c r="Z106" s="20"/>
      <c r="AA106" s="21"/>
      <c r="AB106" s="22"/>
      <c r="AD106" s="27"/>
      <c r="AE106" s="27"/>
      <c r="AF106" s="27"/>
      <c r="AG106" s="27"/>
      <c r="AH106" s="27"/>
      <c r="AI106" s="27"/>
      <c r="AN106" s="58"/>
      <c r="AO106" s="58"/>
      <c r="AP106" s="58"/>
    </row>
    <row r="107" spans="1:42">
      <c r="A107" s="290">
        <v>109</v>
      </c>
      <c r="B107" s="288" t="s">
        <v>499</v>
      </c>
      <c r="C107" s="289" t="s">
        <v>446</v>
      </c>
      <c r="D107" s="289" t="s">
        <v>1640</v>
      </c>
      <c r="E107" s="288"/>
      <c r="F107" s="288"/>
      <c r="G107" s="288"/>
      <c r="H107" s="288"/>
      <c r="I107" s="304"/>
      <c r="J107" s="305"/>
      <c r="K107" s="305"/>
      <c r="L107" s="306"/>
      <c r="M107" s="305"/>
      <c r="N107" s="305"/>
      <c r="O107" s="307"/>
      <c r="P107" s="289" t="s">
        <v>500</v>
      </c>
      <c r="Q107" s="288" t="s">
        <v>499</v>
      </c>
      <c r="R107" s="315">
        <v>2.4079323671452497E-3</v>
      </c>
      <c r="S107" s="315">
        <v>7.4915988769826095E-2</v>
      </c>
      <c r="T107" s="315">
        <v>0.125</v>
      </c>
      <c r="U107" s="315">
        <v>9.1399999999999999E-4</v>
      </c>
      <c r="V107" s="73"/>
      <c r="W107" s="67" t="s">
        <v>206</v>
      </c>
      <c r="X107" s="19">
        <f t="shared" ref="X107:AA107" si="28">AVERAGE(R86:R107)</f>
        <v>2.3035091986275125E-3</v>
      </c>
      <c r="Y107" s="20">
        <f t="shared" si="28"/>
        <v>2.6136647324626439E-2</v>
      </c>
      <c r="Z107" s="20">
        <f t="shared" si="28"/>
        <v>2.6729545454545462</v>
      </c>
      <c r="AA107" s="21">
        <f t="shared" si="28"/>
        <v>6.3848489820413751E-4</v>
      </c>
      <c r="AB107" s="22"/>
      <c r="AD107" s="27"/>
      <c r="AE107" s="27"/>
      <c r="AF107" s="27"/>
      <c r="AG107" s="27"/>
      <c r="AH107" s="27"/>
      <c r="AI107" s="27"/>
      <c r="AN107" s="58"/>
      <c r="AO107" s="58"/>
      <c r="AP107" s="58"/>
    </row>
    <row r="108" spans="1:42">
      <c r="A108" s="288">
        <v>98</v>
      </c>
      <c r="B108" s="289" t="s">
        <v>501</v>
      </c>
      <c r="C108" s="289" t="s">
        <v>446</v>
      </c>
      <c r="D108" s="289" t="s">
        <v>1641</v>
      </c>
      <c r="E108" s="288"/>
      <c r="F108" s="289"/>
      <c r="G108" s="288"/>
      <c r="H108" s="288"/>
      <c r="I108" s="304"/>
      <c r="J108" s="305"/>
      <c r="K108" s="305"/>
      <c r="L108" s="306"/>
      <c r="M108" s="305"/>
      <c r="N108" s="305"/>
      <c r="O108" s="307"/>
      <c r="P108" s="289" t="s">
        <v>502</v>
      </c>
      <c r="Q108" s="289" t="s">
        <v>501</v>
      </c>
      <c r="R108" s="302">
        <v>1.2676826767866192E-3</v>
      </c>
      <c r="S108" s="302">
        <v>1.2529603921785265E-2</v>
      </c>
      <c r="T108" s="302">
        <v>3.9021190476190477</v>
      </c>
      <c r="U108" s="302">
        <v>2.4670797083008937E-4</v>
      </c>
      <c r="V108" s="48"/>
      <c r="W108" s="18"/>
      <c r="X108" s="19"/>
      <c r="Y108" s="20"/>
      <c r="Z108" s="20"/>
      <c r="AA108" s="21"/>
      <c r="AB108" s="22"/>
      <c r="AD108" s="27"/>
      <c r="AE108" s="27"/>
      <c r="AF108" s="27"/>
      <c r="AG108" s="27"/>
      <c r="AH108" s="27"/>
      <c r="AI108" s="27"/>
      <c r="AN108" s="58"/>
      <c r="AO108" s="58"/>
      <c r="AP108" s="58"/>
    </row>
    <row r="109" spans="1:42">
      <c r="A109" s="290">
        <v>101</v>
      </c>
      <c r="B109" s="288" t="s">
        <v>503</v>
      </c>
      <c r="C109" s="289" t="s">
        <v>446</v>
      </c>
      <c r="D109" s="289" t="s">
        <v>1641</v>
      </c>
      <c r="E109" s="288" t="s">
        <v>188</v>
      </c>
      <c r="F109" s="288" t="s">
        <v>504</v>
      </c>
      <c r="G109" s="288" t="s">
        <v>505</v>
      </c>
      <c r="H109" s="288"/>
      <c r="I109" s="304">
        <v>1.1563751565803477E-3</v>
      </c>
      <c r="J109" s="305">
        <v>1.5656243271042144E-2</v>
      </c>
      <c r="K109" s="305">
        <v>5.0485933503836313E-4</v>
      </c>
      <c r="L109" s="306" t="s">
        <v>177</v>
      </c>
      <c r="M109" s="306" t="s">
        <v>177</v>
      </c>
      <c r="N109" s="305">
        <v>12.287282608695653</v>
      </c>
      <c r="O109" s="307">
        <v>5.9203469084219082E-4</v>
      </c>
      <c r="P109" s="289" t="s">
        <v>506</v>
      </c>
      <c r="Q109" s="288" t="s">
        <v>503</v>
      </c>
      <c r="R109" s="302">
        <v>1.1563751565803477E-3</v>
      </c>
      <c r="S109" s="302">
        <v>1.5656243271042144E-2</v>
      </c>
      <c r="T109" s="302">
        <v>12.287282608695653</v>
      </c>
      <c r="U109" s="302">
        <v>5.9203469084219082E-4</v>
      </c>
      <c r="V109" s="48"/>
      <c r="W109" s="18"/>
      <c r="X109" s="19"/>
      <c r="Y109" s="20"/>
      <c r="Z109" s="20"/>
      <c r="AA109" s="21"/>
      <c r="AB109" s="22"/>
      <c r="AD109" s="27"/>
      <c r="AE109" s="27"/>
      <c r="AF109" s="27"/>
      <c r="AG109" s="27"/>
      <c r="AH109" s="27"/>
      <c r="AI109" s="27"/>
      <c r="AN109" s="58"/>
      <c r="AO109" s="58"/>
      <c r="AP109" s="58"/>
    </row>
    <row r="110" spans="1:42">
      <c r="A110" s="288">
        <v>77</v>
      </c>
      <c r="B110" s="288" t="s">
        <v>507</v>
      </c>
      <c r="C110" s="289" t="s">
        <v>446</v>
      </c>
      <c r="D110" s="289" t="s">
        <v>1642</v>
      </c>
      <c r="E110" s="288" t="s">
        <v>188</v>
      </c>
      <c r="F110" s="288" t="s">
        <v>508</v>
      </c>
      <c r="G110" s="317" t="s">
        <v>1643</v>
      </c>
      <c r="H110" s="303"/>
      <c r="I110" s="304">
        <v>2.5076104797634611E-3</v>
      </c>
      <c r="J110" s="305">
        <v>1.3519026779019229E-2</v>
      </c>
      <c r="K110" s="305">
        <v>8.1778846153846159E-4</v>
      </c>
      <c r="L110" s="306">
        <v>3293</v>
      </c>
      <c r="M110" s="305">
        <f t="shared" ref="M110:M111" si="29">L110/1000</f>
        <v>3.2930000000000001</v>
      </c>
      <c r="N110" s="305">
        <v>2.7758076919999999</v>
      </c>
      <c r="O110" s="307">
        <v>1.2200161793711538E-3</v>
      </c>
      <c r="P110" s="289" t="s">
        <v>509</v>
      </c>
      <c r="Q110" s="288" t="s">
        <v>507</v>
      </c>
      <c r="R110" s="302">
        <v>2.5076104797634611E-3</v>
      </c>
      <c r="S110" s="302">
        <v>1.3519026779019229E-2</v>
      </c>
      <c r="T110" s="302">
        <v>2.7758076919999999</v>
      </c>
      <c r="U110" s="302">
        <v>1.2200161793711538E-3</v>
      </c>
      <c r="V110" s="17"/>
      <c r="W110" s="18"/>
      <c r="X110" s="19"/>
      <c r="Y110" s="20"/>
      <c r="Z110" s="20"/>
      <c r="AA110" s="21"/>
      <c r="AB110" s="22"/>
      <c r="AD110" s="27"/>
      <c r="AE110" s="27"/>
      <c r="AF110" s="27"/>
      <c r="AG110" s="27"/>
      <c r="AH110" s="27"/>
      <c r="AI110" s="27"/>
      <c r="AN110" s="58"/>
      <c r="AO110" s="58"/>
      <c r="AP110" s="58"/>
    </row>
    <row r="111" spans="1:42">
      <c r="A111" s="288">
        <v>78</v>
      </c>
      <c r="B111" s="289" t="s">
        <v>510</v>
      </c>
      <c r="C111" s="289" t="s">
        <v>446</v>
      </c>
      <c r="D111" s="289" t="s">
        <v>1642</v>
      </c>
      <c r="E111" s="288" t="s">
        <v>188</v>
      </c>
      <c r="F111" s="288" t="s">
        <v>511</v>
      </c>
      <c r="G111" s="311" t="s">
        <v>1630</v>
      </c>
      <c r="H111" s="288"/>
      <c r="I111" s="304">
        <v>7.1773844620122602E-3</v>
      </c>
      <c r="J111" s="305">
        <v>6.7715737224996325E-2</v>
      </c>
      <c r="K111" s="305">
        <v>2.6813386525249999E-3</v>
      </c>
      <c r="L111" s="306">
        <v>33919</v>
      </c>
      <c r="M111" s="305">
        <f t="shared" si="29"/>
        <v>33.918999999999997</v>
      </c>
      <c r="N111" s="305">
        <v>33.684770829999998</v>
      </c>
      <c r="O111" s="307">
        <v>1.1775586996833334E-3</v>
      </c>
      <c r="P111" s="289" t="s">
        <v>512</v>
      </c>
      <c r="Q111" s="289" t="s">
        <v>510</v>
      </c>
      <c r="R111" s="315">
        <v>7.1773844620122602E-3</v>
      </c>
      <c r="S111" s="315">
        <v>6.7715737224996325E-2</v>
      </c>
      <c r="T111" s="315">
        <v>33.684770829999998</v>
      </c>
      <c r="U111" s="315">
        <v>1.1775586996833334E-3</v>
      </c>
      <c r="V111" s="73"/>
      <c r="W111" s="18"/>
      <c r="X111" s="19"/>
      <c r="Y111" s="20"/>
      <c r="Z111" s="20"/>
      <c r="AA111" s="21"/>
      <c r="AB111" s="22"/>
      <c r="AC111" s="2"/>
      <c r="AD111" s="72"/>
      <c r="AE111" s="72"/>
      <c r="AF111" s="72"/>
      <c r="AG111" s="72"/>
      <c r="AH111" s="27"/>
      <c r="AI111" s="27"/>
      <c r="AN111" s="58"/>
      <c r="AO111" s="58"/>
      <c r="AP111" s="58"/>
    </row>
    <row r="112" spans="1:42">
      <c r="A112" s="288">
        <v>82</v>
      </c>
      <c r="B112" s="288" t="s">
        <v>513</v>
      </c>
      <c r="C112" s="289" t="s">
        <v>446</v>
      </c>
      <c r="D112" s="289" t="s">
        <v>1642</v>
      </c>
      <c r="E112" s="288"/>
      <c r="F112" s="288"/>
      <c r="G112" s="288"/>
      <c r="H112" s="288"/>
      <c r="I112" s="304"/>
      <c r="J112" s="305"/>
      <c r="K112" s="305"/>
      <c r="L112" s="306"/>
      <c r="M112" s="305"/>
      <c r="N112" s="305"/>
      <c r="O112" s="307"/>
      <c r="P112" s="289" t="s">
        <v>514</v>
      </c>
      <c r="Q112" s="288" t="s">
        <v>513</v>
      </c>
      <c r="R112" s="302">
        <v>3.5118930577849121E-3</v>
      </c>
      <c r="S112" s="302">
        <v>3.6156040007173824E-2</v>
      </c>
      <c r="T112" s="302">
        <v>1.825247191011236</v>
      </c>
      <c r="U112" s="302">
        <v>2.2687377542803312E-3</v>
      </c>
      <c r="V112" s="17"/>
      <c r="W112" s="18"/>
      <c r="X112" s="19"/>
      <c r="Y112" s="20"/>
      <c r="Z112" s="20"/>
      <c r="AA112" s="21"/>
      <c r="AB112" s="22"/>
      <c r="AC112" s="2"/>
      <c r="AD112" s="72"/>
      <c r="AE112" s="72"/>
      <c r="AF112" s="72"/>
      <c r="AG112" s="72"/>
      <c r="AH112" s="27"/>
      <c r="AI112" s="27"/>
      <c r="AN112" s="58"/>
      <c r="AO112" s="58"/>
      <c r="AP112" s="58"/>
    </row>
    <row r="113" spans="1:42">
      <c r="A113" s="288">
        <v>86</v>
      </c>
      <c r="B113" s="288" t="s">
        <v>515</v>
      </c>
      <c r="C113" s="289" t="s">
        <v>446</v>
      </c>
      <c r="D113" s="289" t="s">
        <v>1642</v>
      </c>
      <c r="E113" s="288" t="s">
        <v>188</v>
      </c>
      <c r="F113" s="288" t="s">
        <v>516</v>
      </c>
      <c r="G113" s="288" t="s">
        <v>450</v>
      </c>
      <c r="H113" s="288"/>
      <c r="I113" s="304">
        <v>1.2077020065879129E-3</v>
      </c>
      <c r="J113" s="305">
        <v>5.4146159582401177E-3</v>
      </c>
      <c r="K113" s="305">
        <v>1.5899999999999999E-4</v>
      </c>
      <c r="L113" s="306">
        <v>811</v>
      </c>
      <c r="M113" s="305">
        <f t="shared" ref="M113:M114" si="30">L113/1000</f>
        <v>0.81100000000000005</v>
      </c>
      <c r="N113" s="305">
        <v>0.18402777779999999</v>
      </c>
      <c r="O113" s="307">
        <v>2.0876111111111108E-3</v>
      </c>
      <c r="P113" s="289" t="s">
        <v>517</v>
      </c>
      <c r="Q113" s="288" t="s">
        <v>515</v>
      </c>
      <c r="R113" s="315">
        <v>1.2077020065879129E-3</v>
      </c>
      <c r="S113" s="315">
        <v>5.4146159582401177E-3</v>
      </c>
      <c r="T113" s="315">
        <v>0.18402777779999999</v>
      </c>
      <c r="U113" s="315">
        <v>2.0876111111111108E-3</v>
      </c>
      <c r="V113" s="73"/>
      <c r="W113" s="18"/>
      <c r="X113" s="19"/>
      <c r="Y113" s="20"/>
      <c r="Z113" s="20"/>
      <c r="AA113" s="21"/>
      <c r="AB113" s="22"/>
      <c r="AD113" s="27"/>
      <c r="AE113" s="27"/>
      <c r="AF113" s="27"/>
      <c r="AG113" s="27"/>
      <c r="AH113" s="27"/>
      <c r="AI113" s="27"/>
      <c r="AN113" s="58"/>
      <c r="AO113" s="58"/>
      <c r="AP113" s="58"/>
    </row>
    <row r="114" spans="1:42">
      <c r="A114" s="290">
        <v>89</v>
      </c>
      <c r="B114" s="288" t="s">
        <v>518</v>
      </c>
      <c r="C114" s="289" t="s">
        <v>446</v>
      </c>
      <c r="D114" s="289" t="s">
        <v>1642</v>
      </c>
      <c r="E114" s="288" t="s">
        <v>188</v>
      </c>
      <c r="F114" s="288" t="s">
        <v>519</v>
      </c>
      <c r="G114" s="288" t="s">
        <v>520</v>
      </c>
      <c r="H114" s="288"/>
      <c r="I114" s="304">
        <v>4.8065157443333336E-3</v>
      </c>
      <c r="J114" s="305">
        <v>2.3753475394999998E-2</v>
      </c>
      <c r="K114" s="305">
        <v>4.4716312056737589E-4</v>
      </c>
      <c r="L114" s="306">
        <v>15125</v>
      </c>
      <c r="M114" s="305">
        <f t="shared" si="30"/>
        <v>15.125</v>
      </c>
      <c r="N114" s="305">
        <v>15.014999999999997</v>
      </c>
      <c r="O114" s="307">
        <v>1.378834501718213E-3</v>
      </c>
      <c r="P114" s="289" t="s">
        <v>521</v>
      </c>
      <c r="Q114" s="288" t="s">
        <v>518</v>
      </c>
      <c r="R114" s="302">
        <v>4.8065157443333336E-3</v>
      </c>
      <c r="S114" s="302">
        <v>2.3753475394999998E-2</v>
      </c>
      <c r="T114" s="302">
        <v>15.014999999999997</v>
      </c>
      <c r="U114" s="302">
        <v>1.378834501718213E-3</v>
      </c>
      <c r="V114" s="17"/>
      <c r="W114" s="18"/>
      <c r="X114" s="19"/>
      <c r="Y114" s="20"/>
      <c r="Z114" s="20"/>
      <c r="AA114" s="21"/>
      <c r="AB114" s="22"/>
      <c r="AD114" s="27"/>
      <c r="AE114" s="27"/>
      <c r="AF114" s="27"/>
      <c r="AG114" s="27"/>
      <c r="AH114" s="27"/>
      <c r="AI114" s="27"/>
      <c r="AN114" s="58"/>
      <c r="AO114" s="58"/>
      <c r="AP114" s="58"/>
    </row>
    <row r="115" spans="1:42">
      <c r="A115" s="290">
        <v>95</v>
      </c>
      <c r="B115" s="288" t="s">
        <v>522</v>
      </c>
      <c r="C115" s="289" t="s">
        <v>446</v>
      </c>
      <c r="D115" s="289" t="s">
        <v>1642</v>
      </c>
      <c r="E115" s="288"/>
      <c r="F115" s="288"/>
      <c r="G115" s="288"/>
      <c r="H115" s="288"/>
      <c r="I115" s="304"/>
      <c r="J115" s="305"/>
      <c r="K115" s="305"/>
      <c r="L115" s="306"/>
      <c r="M115" s="305"/>
      <c r="N115" s="305"/>
      <c r="O115" s="307"/>
      <c r="P115" s="288" t="s">
        <v>523</v>
      </c>
      <c r="Q115" s="288" t="s">
        <v>522</v>
      </c>
      <c r="R115" s="302">
        <v>1.9328032591460944E-3</v>
      </c>
      <c r="S115" s="302">
        <v>1.9038112102589027E-2</v>
      </c>
      <c r="T115" s="302">
        <v>16.844000000000001</v>
      </c>
      <c r="U115" s="302">
        <v>2.6949999999999999E-3</v>
      </c>
      <c r="V115" s="48"/>
      <c r="W115" s="18"/>
      <c r="X115" s="19"/>
      <c r="Y115" s="20"/>
      <c r="Z115" s="20"/>
      <c r="AA115" s="21"/>
      <c r="AB115" s="22"/>
      <c r="AD115" s="27"/>
      <c r="AE115" s="27"/>
      <c r="AF115" s="27"/>
      <c r="AG115" s="27"/>
      <c r="AH115" s="27"/>
      <c r="AI115" s="27"/>
      <c r="AN115" s="58"/>
      <c r="AO115" s="58"/>
      <c r="AP115" s="58"/>
    </row>
    <row r="116" spans="1:42">
      <c r="A116" s="288">
        <v>100</v>
      </c>
      <c r="B116" s="288" t="s">
        <v>524</v>
      </c>
      <c r="C116" s="289" t="s">
        <v>446</v>
      </c>
      <c r="D116" s="289" t="s">
        <v>1642</v>
      </c>
      <c r="E116" s="288" t="s">
        <v>188</v>
      </c>
      <c r="F116" s="288" t="s">
        <v>525</v>
      </c>
      <c r="G116" s="288" t="s">
        <v>1011</v>
      </c>
      <c r="H116" s="288"/>
      <c r="I116" s="304">
        <v>2.4057913847009425E-3</v>
      </c>
      <c r="J116" s="305">
        <v>2.2292359013166604E-2</v>
      </c>
      <c r="K116" s="305">
        <v>5.5393612235717495E-4</v>
      </c>
      <c r="L116" s="306">
        <v>4607</v>
      </c>
      <c r="M116" s="305">
        <f t="shared" ref="M116:M118" si="31">L116/1000</f>
        <v>4.6070000000000002</v>
      </c>
      <c r="N116" s="305">
        <v>4.702210526</v>
      </c>
      <c r="O116" s="307">
        <v>1.9487570785700057E-3</v>
      </c>
      <c r="P116" s="289" t="s">
        <v>526</v>
      </c>
      <c r="Q116" s="288" t="s">
        <v>524</v>
      </c>
      <c r="R116" s="315">
        <v>2.4057913847009425E-3</v>
      </c>
      <c r="S116" s="315">
        <v>2.2292359013166604E-2</v>
      </c>
      <c r="T116" s="315">
        <v>4.702210526</v>
      </c>
      <c r="U116" s="315">
        <v>1.9487570785700057E-3</v>
      </c>
      <c r="V116" s="73"/>
      <c r="W116" s="18"/>
      <c r="X116" s="19"/>
      <c r="Y116" s="20"/>
      <c r="Z116" s="20"/>
      <c r="AA116" s="21"/>
      <c r="AB116" s="22"/>
      <c r="AD116" s="27"/>
      <c r="AE116" s="27"/>
      <c r="AF116" s="27"/>
      <c r="AG116" s="27"/>
      <c r="AH116" s="27"/>
      <c r="AI116" s="27"/>
      <c r="AN116" s="58"/>
      <c r="AO116" s="58"/>
      <c r="AP116" s="58"/>
    </row>
    <row r="117" spans="1:42">
      <c r="A117" s="288">
        <v>103</v>
      </c>
      <c r="B117" s="288" t="s">
        <v>527</v>
      </c>
      <c r="C117" s="289" t="s">
        <v>446</v>
      </c>
      <c r="D117" s="289" t="s">
        <v>1642</v>
      </c>
      <c r="E117" s="288" t="s">
        <v>188</v>
      </c>
      <c r="F117" s="288" t="s">
        <v>528</v>
      </c>
      <c r="G117" s="288" t="s">
        <v>529</v>
      </c>
      <c r="H117" s="288"/>
      <c r="I117" s="304">
        <v>2.6431432150407948E-3</v>
      </c>
      <c r="J117" s="305">
        <v>3.578569890523918E-2</v>
      </c>
      <c r="K117" s="305">
        <v>1.1539641943734014E-3</v>
      </c>
      <c r="L117" s="306">
        <v>29097</v>
      </c>
      <c r="M117" s="305">
        <f t="shared" si="31"/>
        <v>29.097000000000001</v>
      </c>
      <c r="N117" s="305">
        <v>28.085217391304351</v>
      </c>
      <c r="O117" s="307">
        <v>5.0706361664226891E-4</v>
      </c>
      <c r="P117" s="289" t="s">
        <v>530</v>
      </c>
      <c r="Q117" s="288" t="s">
        <v>527</v>
      </c>
      <c r="R117" s="302">
        <v>2.6431432150407948E-3</v>
      </c>
      <c r="S117" s="302">
        <v>3.578569890523918E-2</v>
      </c>
      <c r="T117" s="302">
        <v>28.085217391304351</v>
      </c>
      <c r="U117" s="302">
        <v>5.0706361664226891E-4</v>
      </c>
      <c r="V117" s="17"/>
      <c r="W117" s="18"/>
      <c r="X117" s="19"/>
      <c r="Y117" s="20"/>
      <c r="Z117" s="20"/>
      <c r="AA117" s="21"/>
      <c r="AB117" s="22"/>
      <c r="AD117" s="27"/>
      <c r="AE117" s="27"/>
      <c r="AF117" s="27"/>
      <c r="AG117" s="27"/>
      <c r="AH117" s="27"/>
      <c r="AI117" s="27"/>
      <c r="AN117" s="58"/>
      <c r="AO117" s="58"/>
      <c r="AP117" s="58"/>
    </row>
    <row r="118" spans="1:42">
      <c r="A118" s="290">
        <v>111</v>
      </c>
      <c r="B118" s="288" t="s">
        <v>531</v>
      </c>
      <c r="C118" s="288" t="s">
        <v>532</v>
      </c>
      <c r="D118" s="289" t="s">
        <v>533</v>
      </c>
      <c r="E118" s="288" t="s">
        <v>534</v>
      </c>
      <c r="F118" s="289" t="s">
        <v>535</v>
      </c>
      <c r="G118" s="311" t="s">
        <v>1644</v>
      </c>
      <c r="H118" s="288"/>
      <c r="I118" s="304">
        <v>6.399192301960112E-3</v>
      </c>
      <c r="J118" s="305">
        <v>0.12411340117772937</v>
      </c>
      <c r="K118" s="305">
        <v>9.8749999999999988E-5</v>
      </c>
      <c r="L118" s="306">
        <v>1374</v>
      </c>
      <c r="M118" s="305">
        <f t="shared" si="31"/>
        <v>1.3740000000000001</v>
      </c>
      <c r="N118" s="305">
        <v>1.7175</v>
      </c>
      <c r="O118" s="307">
        <v>3.8580927353216109E-4</v>
      </c>
      <c r="P118" s="288" t="s">
        <v>536</v>
      </c>
      <c r="Q118" s="288" t="s">
        <v>531</v>
      </c>
      <c r="R118" s="302">
        <v>6.399192301960112E-3</v>
      </c>
      <c r="S118" s="302">
        <v>0.12411340117772937</v>
      </c>
      <c r="T118" s="302">
        <v>1.7175</v>
      </c>
      <c r="U118" s="302">
        <v>3.8580927353216109E-4</v>
      </c>
      <c r="V118" s="17"/>
      <c r="W118" s="18"/>
      <c r="X118" s="19"/>
      <c r="Y118" s="20"/>
      <c r="Z118" s="20"/>
      <c r="AA118" s="21"/>
      <c r="AB118" s="22"/>
      <c r="AD118" s="27"/>
      <c r="AE118" s="27"/>
      <c r="AF118" s="27"/>
      <c r="AG118" s="27"/>
      <c r="AH118" s="27"/>
      <c r="AI118" s="27"/>
      <c r="AN118" s="58"/>
      <c r="AO118" s="58"/>
      <c r="AP118" s="58"/>
    </row>
    <row r="119" spans="1:42">
      <c r="A119" s="288">
        <v>112</v>
      </c>
      <c r="B119" s="288" t="s">
        <v>537</v>
      </c>
      <c r="C119" s="288" t="s">
        <v>532</v>
      </c>
      <c r="D119" s="289" t="s">
        <v>538</v>
      </c>
      <c r="E119" s="288" t="s">
        <v>534</v>
      </c>
      <c r="F119" s="289" t="s">
        <v>535</v>
      </c>
      <c r="G119" s="311" t="s">
        <v>1645</v>
      </c>
      <c r="H119" s="288"/>
      <c r="I119" s="304">
        <v>1.7787585381719634E-3</v>
      </c>
      <c r="J119" s="305">
        <v>3.4499318293470541E-2</v>
      </c>
      <c r="K119" s="305">
        <v>2.7449152542372882E-5</v>
      </c>
      <c r="L119" s="306" t="s">
        <v>177</v>
      </c>
      <c r="M119" s="306" t="s">
        <v>177</v>
      </c>
      <c r="N119" s="305">
        <v>0.47740677970000001</v>
      </c>
      <c r="O119" s="307">
        <v>1.0724189976148208E-4</v>
      </c>
      <c r="P119" s="288" t="s">
        <v>539</v>
      </c>
      <c r="Q119" s="288" t="s">
        <v>537</v>
      </c>
      <c r="R119" s="302">
        <v>1.7787585381719634E-3</v>
      </c>
      <c r="S119" s="302">
        <v>3.4499318293470541E-2</v>
      </c>
      <c r="T119" s="302">
        <v>0.47740677970000001</v>
      </c>
      <c r="U119" s="302">
        <v>1.0724189976148208E-4</v>
      </c>
      <c r="V119" s="17"/>
      <c r="W119" s="18"/>
      <c r="X119" s="19"/>
      <c r="Y119" s="20"/>
      <c r="Z119" s="20"/>
      <c r="AA119" s="21"/>
      <c r="AB119" s="22"/>
      <c r="AD119" s="27"/>
      <c r="AE119" s="27"/>
      <c r="AF119" s="27"/>
      <c r="AG119" s="27"/>
      <c r="AH119" s="27"/>
      <c r="AI119" s="27"/>
      <c r="AN119" s="58"/>
      <c r="AO119" s="58"/>
      <c r="AP119" s="58"/>
    </row>
    <row r="120" spans="1:42">
      <c r="A120" s="290">
        <v>135</v>
      </c>
      <c r="B120" s="289" t="s">
        <v>540</v>
      </c>
      <c r="C120" s="289" t="s">
        <v>532</v>
      </c>
      <c r="D120" s="289" t="s">
        <v>541</v>
      </c>
      <c r="E120" s="288" t="s">
        <v>6</v>
      </c>
      <c r="F120" s="289" t="s">
        <v>542</v>
      </c>
      <c r="G120" s="288" t="s">
        <v>543</v>
      </c>
      <c r="H120" s="288"/>
      <c r="I120" s="304">
        <v>4.4798514033830313E-4</v>
      </c>
      <c r="J120" s="305">
        <v>3.0362447219192758E-2</v>
      </c>
      <c r="K120" s="305">
        <v>9.1342622309197643E-5</v>
      </c>
      <c r="L120" s="306" t="s">
        <v>177</v>
      </c>
      <c r="M120" s="305" t="s">
        <v>177</v>
      </c>
      <c r="N120" s="305">
        <v>0.41637235230000003</v>
      </c>
      <c r="O120" s="307">
        <v>4.4231893147834018E-4</v>
      </c>
      <c r="P120" s="289" t="s">
        <v>544</v>
      </c>
      <c r="Q120" s="289" t="s">
        <v>540</v>
      </c>
      <c r="R120" s="302">
        <v>4.4798514033830313E-4</v>
      </c>
      <c r="S120" s="302">
        <v>3.0362447219192758E-2</v>
      </c>
      <c r="T120" s="302">
        <v>0.41637235230000003</v>
      </c>
      <c r="U120" s="302">
        <v>4.4231893147834018E-4</v>
      </c>
      <c r="V120" s="17"/>
      <c r="W120" s="18"/>
      <c r="X120" s="19"/>
      <c r="Y120" s="20"/>
      <c r="Z120" s="20"/>
      <c r="AA120" s="21"/>
      <c r="AB120" s="22"/>
      <c r="AD120" s="27"/>
      <c r="AE120" s="27"/>
      <c r="AF120" s="27"/>
      <c r="AG120" s="27"/>
      <c r="AH120" s="27"/>
      <c r="AI120" s="27"/>
      <c r="AN120" s="58"/>
      <c r="AO120" s="58"/>
      <c r="AP120" s="58"/>
    </row>
    <row r="121" spans="1:42">
      <c r="A121" s="288">
        <v>140</v>
      </c>
      <c r="B121" s="288" t="s">
        <v>545</v>
      </c>
      <c r="C121" s="289" t="s">
        <v>532</v>
      </c>
      <c r="D121" s="289" t="s">
        <v>546</v>
      </c>
      <c r="E121" s="288">
        <v>62.1</v>
      </c>
      <c r="F121" s="288" t="e">
        <f t="shared" ref="F121:J121" si="32">F120*$E121/$E120</f>
        <v>#VALUE!</v>
      </c>
      <c r="G121" s="288" t="e">
        <f t="shared" si="32"/>
        <v>#VALUE!</v>
      </c>
      <c r="H121" s="288" t="e">
        <f t="shared" si="32"/>
        <v>#VALUE!</v>
      </c>
      <c r="I121" s="318" t="e">
        <f t="shared" si="32"/>
        <v>#VALUE!</v>
      </c>
      <c r="J121" s="288" t="e">
        <f t="shared" si="32"/>
        <v>#VALUE!</v>
      </c>
      <c r="K121" s="305"/>
      <c r="L121" s="306"/>
      <c r="M121" s="306"/>
      <c r="N121" s="305"/>
      <c r="O121" s="307"/>
      <c r="P121" s="289" t="s">
        <v>547</v>
      </c>
      <c r="Q121" s="288" t="s">
        <v>545</v>
      </c>
      <c r="R121" s="302">
        <v>5.6088355545490853E-2</v>
      </c>
      <c r="S121" s="302">
        <v>0.66173384537848157</v>
      </c>
      <c r="T121" s="302">
        <v>8.0075910780669144</v>
      </c>
      <c r="U121" s="302">
        <v>3.2827185441729034E-3</v>
      </c>
      <c r="V121" s="17"/>
      <c r="W121" s="18"/>
      <c r="X121" s="19"/>
      <c r="Y121" s="20"/>
      <c r="Z121" s="20"/>
      <c r="AA121" s="21"/>
      <c r="AB121" s="22"/>
      <c r="AD121" s="27"/>
      <c r="AE121" s="27"/>
      <c r="AF121" s="27"/>
      <c r="AG121" s="27"/>
      <c r="AH121" s="27"/>
      <c r="AI121" s="27"/>
      <c r="AN121" s="58"/>
      <c r="AO121" s="58"/>
      <c r="AP121" s="58"/>
    </row>
    <row r="122" spans="1:42">
      <c r="A122" s="288">
        <v>116</v>
      </c>
      <c r="B122" s="288" t="s">
        <v>548</v>
      </c>
      <c r="C122" s="289" t="s">
        <v>532</v>
      </c>
      <c r="D122" s="289" t="s">
        <v>549</v>
      </c>
      <c r="E122" s="288" t="s">
        <v>252</v>
      </c>
      <c r="F122" s="289" t="s">
        <v>550</v>
      </c>
      <c r="G122" s="288" t="s">
        <v>551</v>
      </c>
      <c r="H122" s="288"/>
      <c r="I122" s="304">
        <v>3.1468479298981202E-3</v>
      </c>
      <c r="J122" s="305">
        <v>0.16906375764329037</v>
      </c>
      <c r="K122" s="305">
        <v>9.759036144578314E-5</v>
      </c>
      <c r="L122" s="306">
        <v>253</v>
      </c>
      <c r="M122" s="305">
        <f t="shared" ref="M122:M123" si="33">L122/1000</f>
        <v>0.253</v>
      </c>
      <c r="N122" s="305">
        <v>0.30481927710843376</v>
      </c>
      <c r="O122" s="307">
        <v>7.171669800597832E-4</v>
      </c>
      <c r="P122" s="289" t="s">
        <v>552</v>
      </c>
      <c r="Q122" s="288" t="s">
        <v>548</v>
      </c>
      <c r="R122" s="302">
        <v>3.1468479298981202E-3</v>
      </c>
      <c r="S122" s="302">
        <v>0.16906375764329037</v>
      </c>
      <c r="T122" s="302">
        <v>0.30481927710843376</v>
      </c>
      <c r="U122" s="302">
        <v>7.171669800597832E-4</v>
      </c>
      <c r="V122" s="17"/>
      <c r="W122" s="18"/>
      <c r="X122" s="19"/>
      <c r="Y122" s="20"/>
      <c r="Z122" s="20"/>
      <c r="AA122" s="21"/>
      <c r="AB122" s="22"/>
      <c r="AD122" s="27"/>
      <c r="AE122" s="27"/>
      <c r="AF122" s="27"/>
      <c r="AG122" s="27"/>
      <c r="AH122" s="27"/>
      <c r="AI122" s="27"/>
      <c r="AN122" s="58"/>
      <c r="AO122" s="58"/>
      <c r="AP122" s="58"/>
    </row>
    <row r="123" spans="1:42">
      <c r="A123" s="288">
        <v>118</v>
      </c>
      <c r="B123" s="288" t="s">
        <v>553</v>
      </c>
      <c r="C123" s="289" t="s">
        <v>532</v>
      </c>
      <c r="D123" s="289" t="s">
        <v>549</v>
      </c>
      <c r="E123" s="288" t="s">
        <v>252</v>
      </c>
      <c r="F123" s="289" t="s">
        <v>550</v>
      </c>
      <c r="G123" s="303" t="s">
        <v>554</v>
      </c>
      <c r="H123" s="288"/>
      <c r="I123" s="304">
        <v>2.5055367220000002E-3</v>
      </c>
      <c r="J123" s="305">
        <v>3.8459841414181101E-2</v>
      </c>
      <c r="K123" s="305">
        <v>1.1035422343324251E-4</v>
      </c>
      <c r="L123" s="306">
        <v>253</v>
      </c>
      <c r="M123" s="305">
        <f t="shared" si="33"/>
        <v>0.253</v>
      </c>
      <c r="N123" s="305">
        <v>0.34468664850136238</v>
      </c>
      <c r="O123" s="307">
        <v>8.109653861711444E-4</v>
      </c>
      <c r="P123" s="289" t="s">
        <v>555</v>
      </c>
      <c r="Q123" s="288" t="s">
        <v>553</v>
      </c>
      <c r="R123" s="302">
        <v>2.5055367220000002E-3</v>
      </c>
      <c r="S123" s="302">
        <v>3.8459841414181101E-2</v>
      </c>
      <c r="T123" s="302">
        <v>0.34468664850136238</v>
      </c>
      <c r="U123" s="302">
        <v>8.109653861711444E-4</v>
      </c>
      <c r="V123" s="17"/>
      <c r="W123" s="18"/>
      <c r="X123" s="19"/>
      <c r="Y123" s="20"/>
      <c r="Z123" s="20"/>
      <c r="AA123" s="21"/>
      <c r="AB123" s="22"/>
      <c r="AD123" s="27"/>
      <c r="AE123" s="27"/>
      <c r="AF123" s="27"/>
      <c r="AG123" s="27"/>
      <c r="AH123" s="27"/>
      <c r="AI123" s="27"/>
      <c r="AN123" s="58"/>
      <c r="AO123" s="58"/>
      <c r="AP123" s="58"/>
    </row>
    <row r="124" spans="1:42">
      <c r="A124" s="288">
        <v>133</v>
      </c>
      <c r="B124" s="288" t="s">
        <v>556</v>
      </c>
      <c r="C124" s="289" t="s">
        <v>532</v>
      </c>
      <c r="D124" s="289" t="s">
        <v>557</v>
      </c>
      <c r="E124" s="288" t="s">
        <v>6</v>
      </c>
      <c r="F124" s="289" t="s">
        <v>542</v>
      </c>
      <c r="G124" s="288" t="s">
        <v>558</v>
      </c>
      <c r="H124" s="288"/>
      <c r="I124" s="304">
        <v>2.6313563181764739E-3</v>
      </c>
      <c r="J124" s="305">
        <v>0.17834166835352852</v>
      </c>
      <c r="K124" s="305">
        <v>5.365244618395303E-4</v>
      </c>
      <c r="L124" s="306" t="s">
        <v>177</v>
      </c>
      <c r="M124" s="305" t="s">
        <v>177</v>
      </c>
      <c r="N124" s="305">
        <v>2.4456704500000002</v>
      </c>
      <c r="O124" s="307">
        <v>2.5980743783502744E-3</v>
      </c>
      <c r="P124" s="289" t="s">
        <v>559</v>
      </c>
      <c r="Q124" s="288" t="s">
        <v>556</v>
      </c>
      <c r="R124" s="302">
        <v>2.6313563181764739E-3</v>
      </c>
      <c r="S124" s="302">
        <v>0.17834166835352852</v>
      </c>
      <c r="T124" s="302">
        <v>2.4456704500000002</v>
      </c>
      <c r="U124" s="302">
        <v>2.5980743783502744E-3</v>
      </c>
      <c r="V124" s="17"/>
      <c r="W124" s="18"/>
      <c r="X124" s="19"/>
      <c r="Y124" s="20"/>
      <c r="Z124" s="20"/>
      <c r="AA124" s="21"/>
      <c r="AB124" s="22"/>
      <c r="AD124" s="27"/>
      <c r="AE124" s="27"/>
      <c r="AF124" s="27"/>
      <c r="AG124" s="27"/>
      <c r="AH124" s="27"/>
      <c r="AI124" s="27"/>
      <c r="AN124" s="58"/>
      <c r="AO124" s="58"/>
      <c r="AP124" s="58"/>
    </row>
    <row r="125" spans="1:42">
      <c r="A125" s="288">
        <v>134</v>
      </c>
      <c r="B125" s="288" t="s">
        <v>560</v>
      </c>
      <c r="C125" s="289" t="s">
        <v>532</v>
      </c>
      <c r="D125" s="289" t="s">
        <v>557</v>
      </c>
      <c r="E125" s="288" t="s">
        <v>6</v>
      </c>
      <c r="F125" s="289" t="s">
        <v>542</v>
      </c>
      <c r="G125" s="288" t="s">
        <v>561</v>
      </c>
      <c r="H125" s="288"/>
      <c r="I125" s="304">
        <v>2.38916680630451E-3</v>
      </c>
      <c r="J125" s="305">
        <v>0.16192713668914901</v>
      </c>
      <c r="K125" s="305">
        <v>4.8714285714285716E-4</v>
      </c>
      <c r="L125" s="306">
        <v>1943</v>
      </c>
      <c r="M125" s="305">
        <f t="shared" ref="M125:M126" si="34">L125/1000</f>
        <v>1.9430000000000001</v>
      </c>
      <c r="N125" s="305">
        <v>2.220571429</v>
      </c>
      <c r="O125" s="307">
        <v>2.358948129596642E-3</v>
      </c>
      <c r="P125" s="289" t="s">
        <v>562</v>
      </c>
      <c r="Q125" s="288" t="s">
        <v>560</v>
      </c>
      <c r="R125" s="302">
        <v>2.38916680630451E-3</v>
      </c>
      <c r="S125" s="302">
        <v>0.16192713668914901</v>
      </c>
      <c r="T125" s="302">
        <v>2.220571429</v>
      </c>
      <c r="U125" s="302">
        <v>2.358948129596642E-3</v>
      </c>
      <c r="V125" s="17"/>
      <c r="W125" s="18"/>
      <c r="X125" s="19"/>
      <c r="Y125" s="20"/>
      <c r="Z125" s="20"/>
      <c r="AA125" s="21"/>
      <c r="AB125" s="22"/>
      <c r="AH125" s="27"/>
      <c r="AI125" s="27"/>
      <c r="AN125" s="58"/>
      <c r="AO125" s="58"/>
      <c r="AP125" s="58"/>
    </row>
    <row r="126" spans="1:42">
      <c r="A126" s="288">
        <v>136</v>
      </c>
      <c r="B126" s="289" t="s">
        <v>563</v>
      </c>
      <c r="C126" s="289" t="s">
        <v>532</v>
      </c>
      <c r="D126" s="289" t="s">
        <v>557</v>
      </c>
      <c r="E126" s="288" t="s">
        <v>6</v>
      </c>
      <c r="F126" s="289" t="s">
        <v>542</v>
      </c>
      <c r="G126" s="288" t="s">
        <v>561</v>
      </c>
      <c r="H126" s="288"/>
      <c r="I126" s="304">
        <v>2.38916680630451E-3</v>
      </c>
      <c r="J126" s="305">
        <v>0.16192713668914901</v>
      </c>
      <c r="K126" s="305">
        <v>4.8714285714285716E-4</v>
      </c>
      <c r="L126" s="306">
        <v>1943</v>
      </c>
      <c r="M126" s="305">
        <f t="shared" si="34"/>
        <v>1.9430000000000001</v>
      </c>
      <c r="N126" s="305">
        <v>2.220571429</v>
      </c>
      <c r="O126" s="307">
        <v>2.358948129596642E-3</v>
      </c>
      <c r="P126" s="289" t="s">
        <v>564</v>
      </c>
      <c r="Q126" s="289" t="s">
        <v>563</v>
      </c>
      <c r="R126" s="302">
        <v>2.38916680630451E-3</v>
      </c>
      <c r="S126" s="302">
        <v>0.16192713668914901</v>
      </c>
      <c r="T126" s="302">
        <v>2.220571429</v>
      </c>
      <c r="U126" s="302">
        <v>2.358948129596642E-3</v>
      </c>
      <c r="V126" s="17"/>
      <c r="W126" s="18"/>
      <c r="X126" s="19"/>
      <c r="Y126" s="20"/>
      <c r="Z126" s="20"/>
      <c r="AA126" s="21"/>
      <c r="AB126" s="22"/>
      <c r="AH126" s="27"/>
      <c r="AI126" s="27"/>
      <c r="AN126" s="58"/>
      <c r="AO126" s="58"/>
      <c r="AP126" s="58"/>
    </row>
    <row r="127" spans="1:42">
      <c r="A127" s="290">
        <v>139</v>
      </c>
      <c r="B127" s="288" t="s">
        <v>565</v>
      </c>
      <c r="C127" s="289" t="s">
        <v>532</v>
      </c>
      <c r="D127" s="289" t="s">
        <v>566</v>
      </c>
      <c r="E127" s="288" t="s">
        <v>567</v>
      </c>
      <c r="F127" s="288" t="s">
        <v>568</v>
      </c>
      <c r="G127" s="311" t="s">
        <v>1646</v>
      </c>
      <c r="H127" s="288">
        <v>501</v>
      </c>
      <c r="I127" s="304">
        <v>8.9416218985565125E-3</v>
      </c>
      <c r="J127" s="305">
        <v>0.10549380143714923</v>
      </c>
      <c r="K127" s="305">
        <v>6.1015241635687723E-4</v>
      </c>
      <c r="L127" s="306" t="s">
        <v>177</v>
      </c>
      <c r="M127" s="306" t="s">
        <v>177</v>
      </c>
      <c r="N127" s="305">
        <v>1.276572491</v>
      </c>
      <c r="O127" s="307">
        <v>5.2333194182466582E-4</v>
      </c>
      <c r="P127" s="289" t="s">
        <v>569</v>
      </c>
      <c r="Q127" s="288" t="s">
        <v>565</v>
      </c>
      <c r="R127" s="302">
        <v>8.9416218985565125E-3</v>
      </c>
      <c r="S127" s="302">
        <v>0.10549380143714923</v>
      </c>
      <c r="T127" s="302">
        <v>1.276572491</v>
      </c>
      <c r="U127" s="302">
        <v>5.2333194182466582E-4</v>
      </c>
      <c r="V127" s="17"/>
      <c r="W127" s="18"/>
      <c r="X127" s="19"/>
      <c r="Y127" s="20"/>
      <c r="Z127" s="20"/>
      <c r="AA127" s="21"/>
      <c r="AB127" s="22"/>
      <c r="AH127" s="27"/>
      <c r="AI127" s="27"/>
      <c r="AN127" s="58"/>
      <c r="AO127" s="58"/>
      <c r="AP127" s="58"/>
    </row>
    <row r="128" spans="1:42">
      <c r="A128" s="290">
        <v>141</v>
      </c>
      <c r="B128" s="289" t="s">
        <v>570</v>
      </c>
      <c r="C128" s="289" t="s">
        <v>532</v>
      </c>
      <c r="D128" s="289" t="s">
        <v>566</v>
      </c>
      <c r="E128" s="288" t="s">
        <v>567</v>
      </c>
      <c r="F128" s="289" t="s">
        <v>571</v>
      </c>
      <c r="G128" s="311" t="s">
        <v>1635</v>
      </c>
      <c r="H128" s="288">
        <v>491</v>
      </c>
      <c r="I128" s="304">
        <v>5.0851930036188197E-3</v>
      </c>
      <c r="J128" s="305">
        <v>5.9995417730640897E-2</v>
      </c>
      <c r="K128" s="305">
        <v>3.4699999999999998E-4</v>
      </c>
      <c r="L128" s="306">
        <v>726</v>
      </c>
      <c r="M128" s="305">
        <f t="shared" ref="M128:M131" si="35">L128/1000</f>
        <v>0.72599999999999998</v>
      </c>
      <c r="N128" s="305">
        <f t="shared" ref="N128:N131" si="36">L128/1000</f>
        <v>0.72599999999999998</v>
      </c>
      <c r="O128" s="307">
        <v>2.9762429672480995E-4</v>
      </c>
      <c r="P128" s="289" t="s">
        <v>572</v>
      </c>
      <c r="Q128" s="289" t="s">
        <v>570</v>
      </c>
      <c r="R128" s="302">
        <v>5.0851930036188197E-3</v>
      </c>
      <c r="S128" s="302">
        <v>5.9995417730640897E-2</v>
      </c>
      <c r="T128" s="302">
        <v>0.72599999999999998</v>
      </c>
      <c r="U128" s="302">
        <v>2.9762429672480995E-4</v>
      </c>
      <c r="V128" s="48"/>
      <c r="W128" s="18"/>
      <c r="X128" s="19"/>
      <c r="Y128" s="20"/>
      <c r="Z128" s="20"/>
      <c r="AA128" s="21"/>
      <c r="AB128" s="22"/>
      <c r="AH128" s="27"/>
      <c r="AI128" s="27"/>
      <c r="AN128" s="58"/>
      <c r="AO128" s="58"/>
      <c r="AP128" s="58"/>
    </row>
    <row r="129" spans="1:42">
      <c r="A129" s="288">
        <v>142</v>
      </c>
      <c r="B129" s="289" t="s">
        <v>573</v>
      </c>
      <c r="C129" s="289" t="s">
        <v>532</v>
      </c>
      <c r="D129" s="289" t="s">
        <v>566</v>
      </c>
      <c r="E129" s="288" t="s">
        <v>567</v>
      </c>
      <c r="F129" s="289" t="s">
        <v>571</v>
      </c>
      <c r="G129" s="311" t="s">
        <v>1635</v>
      </c>
      <c r="H129" s="288">
        <v>493</v>
      </c>
      <c r="I129" s="304">
        <v>5.0851930036188197E-3</v>
      </c>
      <c r="J129" s="305">
        <v>5.9995417730640897E-2</v>
      </c>
      <c r="K129" s="305">
        <v>3.4699999999999998E-4</v>
      </c>
      <c r="L129" s="306">
        <v>726</v>
      </c>
      <c r="M129" s="305">
        <f t="shared" si="35"/>
        <v>0.72599999999999998</v>
      </c>
      <c r="N129" s="305">
        <f t="shared" si="36"/>
        <v>0.72599999999999998</v>
      </c>
      <c r="O129" s="307">
        <v>2.9762429672480995E-4</v>
      </c>
      <c r="P129" s="289" t="s">
        <v>572</v>
      </c>
      <c r="Q129" s="289" t="s">
        <v>573</v>
      </c>
      <c r="R129" s="302">
        <v>5.0851930036188197E-3</v>
      </c>
      <c r="S129" s="302">
        <v>5.9995417730640897E-2</v>
      </c>
      <c r="T129" s="302">
        <v>0.72599999999999998</v>
      </c>
      <c r="U129" s="302">
        <v>2.9762429672480995E-4</v>
      </c>
      <c r="V129" s="48"/>
      <c r="W129" s="18"/>
      <c r="X129" s="19"/>
      <c r="Y129" s="20"/>
      <c r="Z129" s="20"/>
      <c r="AA129" s="21"/>
      <c r="AB129" s="22"/>
      <c r="AH129" s="27"/>
      <c r="AI129" s="27"/>
      <c r="AN129" s="58"/>
      <c r="AO129" s="58"/>
      <c r="AP129" s="58"/>
    </row>
    <row r="130" spans="1:42">
      <c r="A130" s="288">
        <v>146</v>
      </c>
      <c r="B130" s="289" t="s">
        <v>574</v>
      </c>
      <c r="C130" s="289" t="s">
        <v>532</v>
      </c>
      <c r="D130" s="289" t="s">
        <v>566</v>
      </c>
      <c r="E130" s="288" t="s">
        <v>567</v>
      </c>
      <c r="F130" s="289" t="s">
        <v>575</v>
      </c>
      <c r="G130" s="311" t="s">
        <v>1647</v>
      </c>
      <c r="H130" s="288">
        <v>495</v>
      </c>
      <c r="I130" s="304">
        <v>5.0851930036188197E-3</v>
      </c>
      <c r="J130" s="305">
        <v>5.9995417730640897E-2</v>
      </c>
      <c r="K130" s="305">
        <v>3.4699999999999998E-4</v>
      </c>
      <c r="L130" s="306">
        <v>726</v>
      </c>
      <c r="M130" s="305">
        <f t="shared" si="35"/>
        <v>0.72599999999999998</v>
      </c>
      <c r="N130" s="305">
        <f t="shared" si="36"/>
        <v>0.72599999999999998</v>
      </c>
      <c r="O130" s="307">
        <v>2.9762429672480995E-4</v>
      </c>
      <c r="P130" s="289" t="s">
        <v>576</v>
      </c>
      <c r="Q130" s="289" t="s">
        <v>574</v>
      </c>
      <c r="R130" s="302">
        <v>5.0851930036188197E-3</v>
      </c>
      <c r="S130" s="302">
        <v>5.9995417730640897E-2</v>
      </c>
      <c r="T130" s="302">
        <v>0.72599999999999998</v>
      </c>
      <c r="U130" s="302">
        <v>2.9762429672480995E-4</v>
      </c>
      <c r="V130" s="48"/>
      <c r="W130" s="67" t="s">
        <v>209</v>
      </c>
      <c r="X130" s="19">
        <f t="shared" ref="X130:AA130" si="37">AVERAGE(R118:R130)</f>
        <v>7.8441205398506013E-3</v>
      </c>
      <c r="Y130" s="20">
        <f t="shared" si="37"/>
        <v>0.14199296980671111</v>
      </c>
      <c r="Z130" s="20">
        <f t="shared" si="37"/>
        <v>1.662289379590516</v>
      </c>
      <c r="AA130" s="21">
        <f t="shared" si="37"/>
        <v>1.1137228065168051E-3</v>
      </c>
      <c r="AB130" s="22"/>
      <c r="AH130" s="27"/>
      <c r="AI130" s="27"/>
      <c r="AN130" s="58"/>
      <c r="AO130" s="58"/>
      <c r="AP130" s="58"/>
    </row>
    <row r="131" spans="1:42">
      <c r="A131" s="288">
        <v>110</v>
      </c>
      <c r="B131" s="288" t="s">
        <v>577</v>
      </c>
      <c r="C131" s="288" t="s">
        <v>532</v>
      </c>
      <c r="D131" s="289" t="s">
        <v>578</v>
      </c>
      <c r="E131" s="288" t="s">
        <v>534</v>
      </c>
      <c r="F131" s="289" t="s">
        <v>535</v>
      </c>
      <c r="G131" s="311" t="s">
        <v>1635</v>
      </c>
      <c r="H131" s="288"/>
      <c r="I131" s="304">
        <v>5.1193538415680896E-3</v>
      </c>
      <c r="J131" s="305">
        <v>9.9290720942183497E-2</v>
      </c>
      <c r="K131" s="305">
        <v>7.8999999999999996E-5</v>
      </c>
      <c r="L131" s="306">
        <v>1374</v>
      </c>
      <c r="M131" s="305">
        <f t="shared" si="35"/>
        <v>1.3740000000000001</v>
      </c>
      <c r="N131" s="305">
        <f t="shared" si="36"/>
        <v>1.3740000000000001</v>
      </c>
      <c r="O131" s="307">
        <v>3.0864741882572887E-4</v>
      </c>
      <c r="P131" s="288" t="s">
        <v>579</v>
      </c>
      <c r="Q131" s="288" t="s">
        <v>577</v>
      </c>
      <c r="R131" s="315">
        <v>5.1193538415680896E-3</v>
      </c>
      <c r="S131" s="315">
        <v>9.9290720942183497E-2</v>
      </c>
      <c r="T131" s="315">
        <v>1.3740000000000001</v>
      </c>
      <c r="U131" s="315">
        <v>3.0864741882572887E-4</v>
      </c>
      <c r="V131" s="73"/>
      <c r="W131" s="18"/>
      <c r="X131" s="19"/>
      <c r="Y131" s="20"/>
      <c r="Z131" s="20"/>
      <c r="AA131" s="21"/>
      <c r="AB131" s="22"/>
      <c r="AH131" s="27"/>
      <c r="AI131" s="27"/>
      <c r="AN131" s="58"/>
      <c r="AO131" s="58"/>
      <c r="AP131" s="58"/>
    </row>
    <row r="132" spans="1:42">
      <c r="A132" s="288">
        <v>128</v>
      </c>
      <c r="B132" s="288" t="s">
        <v>580</v>
      </c>
      <c r="C132" s="289" t="s">
        <v>532</v>
      </c>
      <c r="D132" s="289" t="s">
        <v>581</v>
      </c>
      <c r="E132" s="288" t="s">
        <v>582</v>
      </c>
      <c r="F132" s="288" t="s">
        <v>583</v>
      </c>
      <c r="G132" s="311" t="s">
        <v>1648</v>
      </c>
      <c r="H132" s="288"/>
      <c r="I132" s="304">
        <v>1.4348768881534335E-3</v>
      </c>
      <c r="J132" s="305">
        <v>4.768082570221005E-2</v>
      </c>
      <c r="K132" s="305">
        <v>4.5897097625329815E-5</v>
      </c>
      <c r="L132" s="306" t="s">
        <v>177</v>
      </c>
      <c r="M132" s="306" t="s">
        <v>177</v>
      </c>
      <c r="N132" s="305">
        <v>7.6620052770000002E-2</v>
      </c>
      <c r="O132" s="307">
        <v>5.7820492708777707E-5</v>
      </c>
      <c r="P132" s="289" t="s">
        <v>584</v>
      </c>
      <c r="Q132" s="288" t="s">
        <v>580</v>
      </c>
      <c r="R132" s="302">
        <v>1.4348768881534335E-3</v>
      </c>
      <c r="S132" s="302">
        <v>4.768082570221005E-2</v>
      </c>
      <c r="T132" s="302">
        <v>7.6620052770000002E-2</v>
      </c>
      <c r="U132" s="302">
        <v>5.7820492708777707E-5</v>
      </c>
      <c r="V132" s="17"/>
      <c r="W132" s="18"/>
      <c r="X132" s="19"/>
      <c r="Y132" s="20"/>
      <c r="Z132" s="20"/>
      <c r="AA132" s="21"/>
      <c r="AB132" s="22"/>
      <c r="AH132" s="27"/>
      <c r="AI132" s="27"/>
      <c r="AN132" s="58"/>
      <c r="AO132" s="58"/>
      <c r="AP132" s="58"/>
    </row>
    <row r="133" spans="1:42">
      <c r="A133" s="290">
        <v>131</v>
      </c>
      <c r="B133" s="288" t="s">
        <v>585</v>
      </c>
      <c r="C133" s="289" t="s">
        <v>532</v>
      </c>
      <c r="D133" s="289" t="s">
        <v>586</v>
      </c>
      <c r="E133" s="288" t="s">
        <v>6</v>
      </c>
      <c r="F133" s="289" t="s">
        <v>587</v>
      </c>
      <c r="G133" s="288" t="s">
        <v>588</v>
      </c>
      <c r="H133" s="288"/>
      <c r="I133" s="319">
        <v>7.0063781342921748E-4</v>
      </c>
      <c r="J133" s="314">
        <v>4.7486125575394174E-2</v>
      </c>
      <c r="K133" s="305">
        <v>1.428576294277929E-4</v>
      </c>
      <c r="L133" s="306" t="s">
        <v>177</v>
      </c>
      <c r="M133" s="306" t="s">
        <v>177</v>
      </c>
      <c r="N133" s="305">
        <v>0.65119618530000001</v>
      </c>
      <c r="O133" s="320">
        <v>7.2410198258570182E-4</v>
      </c>
      <c r="P133" s="289" t="s">
        <v>589</v>
      </c>
      <c r="Q133" s="288" t="s">
        <v>585</v>
      </c>
      <c r="R133" s="321">
        <v>7.0063781342921748E-4</v>
      </c>
      <c r="S133" s="321">
        <v>4.7486125575394174E-2</v>
      </c>
      <c r="T133" s="321">
        <v>0.65119618530000001</v>
      </c>
      <c r="U133" s="321">
        <v>7.2410198258570182E-4</v>
      </c>
      <c r="V133" s="74"/>
      <c r="W133" s="18"/>
      <c r="X133" s="19"/>
      <c r="Y133" s="20"/>
      <c r="Z133" s="20"/>
      <c r="AA133" s="21"/>
      <c r="AB133" s="22"/>
      <c r="AH133" s="27"/>
      <c r="AI133" s="27"/>
      <c r="AN133" s="58"/>
      <c r="AO133" s="58"/>
      <c r="AP133" s="58"/>
    </row>
    <row r="134" spans="1:42">
      <c r="A134" s="288">
        <v>122</v>
      </c>
      <c r="B134" s="289" t="s">
        <v>590</v>
      </c>
      <c r="C134" s="289" t="s">
        <v>532</v>
      </c>
      <c r="D134" s="289" t="s">
        <v>591</v>
      </c>
      <c r="E134" s="288"/>
      <c r="F134" s="289"/>
      <c r="G134" s="288"/>
      <c r="H134" s="288"/>
      <c r="I134" s="304"/>
      <c r="J134" s="305"/>
      <c r="K134" s="305"/>
      <c r="L134" s="306"/>
      <c r="M134" s="306"/>
      <c r="N134" s="305"/>
      <c r="O134" s="307"/>
      <c r="P134" s="289" t="s">
        <v>592</v>
      </c>
      <c r="Q134" s="289" t="s">
        <v>590</v>
      </c>
      <c r="R134" s="302">
        <v>3.9496644688301514E-4</v>
      </c>
      <c r="S134" s="302">
        <v>4.6598382703410407E-3</v>
      </c>
      <c r="T134" s="302">
        <v>5.6388349514563105E-2</v>
      </c>
      <c r="U134" s="302">
        <v>2.3116450231053201E-5</v>
      </c>
      <c r="V134" s="48"/>
      <c r="W134" s="18"/>
      <c r="X134" s="19"/>
      <c r="Y134" s="20"/>
      <c r="Z134" s="20"/>
      <c r="AA134" s="21"/>
      <c r="AB134" s="22"/>
      <c r="AH134" s="27"/>
      <c r="AI134" s="27"/>
      <c r="AN134" s="58"/>
      <c r="AO134" s="58"/>
      <c r="AP134" s="58"/>
    </row>
    <row r="135" spans="1:42">
      <c r="A135" s="290">
        <v>115</v>
      </c>
      <c r="B135" s="288" t="s">
        <v>593</v>
      </c>
      <c r="C135" s="289" t="s">
        <v>532</v>
      </c>
      <c r="D135" s="289" t="s">
        <v>594</v>
      </c>
      <c r="E135" s="288" t="s">
        <v>252</v>
      </c>
      <c r="F135" s="288" t="s">
        <v>593</v>
      </c>
      <c r="G135" s="303" t="s">
        <v>595</v>
      </c>
      <c r="H135" s="288"/>
      <c r="I135" s="304">
        <v>1.30594189090772E-4</v>
      </c>
      <c r="J135" s="305">
        <v>7.0161459421965505E-3</v>
      </c>
      <c r="K135" s="305">
        <v>4.0500000000000002E-6</v>
      </c>
      <c r="L135" s="306">
        <v>253</v>
      </c>
      <c r="M135" s="305">
        <f t="shared" ref="M135:M141" si="38">L135/1000</f>
        <v>0.253</v>
      </c>
      <c r="N135" s="305">
        <v>1.2650000000000002E-2</v>
      </c>
      <c r="O135" s="307">
        <v>2.9762429672481003E-5</v>
      </c>
      <c r="P135" s="289" t="s">
        <v>596</v>
      </c>
      <c r="Q135" s="288" t="s">
        <v>593</v>
      </c>
      <c r="R135" s="302">
        <v>1.30594189090772E-4</v>
      </c>
      <c r="S135" s="302">
        <v>7.0161459421965505E-3</v>
      </c>
      <c r="T135" s="302">
        <v>1.2650000000000002E-2</v>
      </c>
      <c r="U135" s="302">
        <v>2.9762429672481003E-5</v>
      </c>
      <c r="V135" s="17"/>
      <c r="W135" s="18"/>
      <c r="X135" s="19"/>
      <c r="Y135" s="20"/>
      <c r="Z135" s="20"/>
      <c r="AA135" s="21"/>
      <c r="AB135" s="22"/>
      <c r="AH135" s="27"/>
      <c r="AI135" s="27"/>
      <c r="AN135" s="58"/>
      <c r="AO135" s="58"/>
      <c r="AP135" s="58"/>
    </row>
    <row r="136" spans="1:42">
      <c r="A136" s="288">
        <v>117</v>
      </c>
      <c r="B136" s="288" t="s">
        <v>597</v>
      </c>
      <c r="C136" s="289" t="s">
        <v>532</v>
      </c>
      <c r="D136" s="289" t="s">
        <v>594</v>
      </c>
      <c r="E136" s="288" t="s">
        <v>252</v>
      </c>
      <c r="F136" s="289" t="s">
        <v>550</v>
      </c>
      <c r="G136" s="288" t="s">
        <v>598</v>
      </c>
      <c r="H136" s="288"/>
      <c r="I136" s="304">
        <v>2.6118837818154398E-3</v>
      </c>
      <c r="J136" s="305">
        <v>0.140322918843931</v>
      </c>
      <c r="K136" s="305">
        <v>8.1000000000000004E-5</v>
      </c>
      <c r="L136" s="306">
        <v>253</v>
      </c>
      <c r="M136" s="305">
        <f t="shared" si="38"/>
        <v>0.253</v>
      </c>
      <c r="N136" s="305">
        <f t="shared" ref="N136:N137" si="39">L136/1000</f>
        <v>0.253</v>
      </c>
      <c r="O136" s="307">
        <v>5.9524859344962E-4</v>
      </c>
      <c r="P136" s="289" t="s">
        <v>599</v>
      </c>
      <c r="Q136" s="288" t="s">
        <v>597</v>
      </c>
      <c r="R136" s="302">
        <v>2.6118837818154398E-3</v>
      </c>
      <c r="S136" s="302">
        <v>0.140322918843931</v>
      </c>
      <c r="T136" s="302">
        <v>0.253</v>
      </c>
      <c r="U136" s="302">
        <v>5.9524859344962E-4</v>
      </c>
      <c r="V136" s="17"/>
      <c r="W136" s="18"/>
      <c r="X136" s="19"/>
      <c r="Y136" s="20"/>
      <c r="Z136" s="20"/>
      <c r="AA136" s="21"/>
      <c r="AB136" s="22"/>
      <c r="AH136" s="27"/>
      <c r="AI136" s="27"/>
      <c r="AN136" s="58"/>
      <c r="AO136" s="58"/>
      <c r="AP136" s="58"/>
    </row>
    <row r="137" spans="1:42">
      <c r="A137" s="290">
        <v>119</v>
      </c>
      <c r="B137" s="288" t="s">
        <v>600</v>
      </c>
      <c r="C137" s="289" t="s">
        <v>532</v>
      </c>
      <c r="D137" s="289" t="s">
        <v>594</v>
      </c>
      <c r="E137" s="288" t="s">
        <v>252</v>
      </c>
      <c r="F137" s="289" t="s">
        <v>601</v>
      </c>
      <c r="G137" s="288" t="s">
        <v>1012</v>
      </c>
      <c r="H137" s="288"/>
      <c r="I137" s="304">
        <v>1.8058607109686532E-2</v>
      </c>
      <c r="J137" s="305">
        <v>0.29545309682941479</v>
      </c>
      <c r="K137" s="305">
        <v>1.0435042177806379E-2</v>
      </c>
      <c r="L137" s="306">
        <v>1106</v>
      </c>
      <c r="M137" s="305">
        <f t="shared" si="38"/>
        <v>1.1060000000000001</v>
      </c>
      <c r="N137" s="305">
        <f t="shared" si="39"/>
        <v>1.1060000000000001</v>
      </c>
      <c r="O137" s="307">
        <v>4.7661389143876732E-5</v>
      </c>
      <c r="P137" s="289" t="s">
        <v>602</v>
      </c>
      <c r="Q137" s="288" t="s">
        <v>600</v>
      </c>
      <c r="R137" s="302">
        <v>1.8058607109686532E-2</v>
      </c>
      <c r="S137" s="302">
        <v>0.29545309682941479</v>
      </c>
      <c r="T137" s="302">
        <v>1.1060000000000001</v>
      </c>
      <c r="U137" s="302">
        <v>4.7661389143876732E-5</v>
      </c>
      <c r="V137" s="17"/>
      <c r="W137" s="18"/>
      <c r="X137" s="19"/>
      <c r="Y137" s="20"/>
      <c r="Z137" s="20"/>
      <c r="AA137" s="21"/>
      <c r="AB137" s="22"/>
      <c r="AH137" s="27"/>
      <c r="AI137" s="27"/>
      <c r="AN137" s="58"/>
      <c r="AO137" s="58"/>
      <c r="AP137" s="58"/>
    </row>
    <row r="138" spans="1:42">
      <c r="A138" s="288">
        <v>120</v>
      </c>
      <c r="B138" s="288" t="s">
        <v>603</v>
      </c>
      <c r="C138" s="289" t="s">
        <v>532</v>
      </c>
      <c r="D138" s="289" t="s">
        <v>594</v>
      </c>
      <c r="E138" s="288" t="s">
        <v>252</v>
      </c>
      <c r="F138" s="289" t="s">
        <v>550</v>
      </c>
      <c r="G138" s="303" t="s">
        <v>598</v>
      </c>
      <c r="H138" s="288"/>
      <c r="I138" s="304">
        <v>3.1468479298981202E-3</v>
      </c>
      <c r="J138" s="305">
        <v>0.16906375764329037</v>
      </c>
      <c r="K138" s="305">
        <v>9.759036144578314E-5</v>
      </c>
      <c r="L138" s="306">
        <v>253</v>
      </c>
      <c r="M138" s="305">
        <f t="shared" si="38"/>
        <v>0.253</v>
      </c>
      <c r="N138" s="305">
        <v>0.30481927710843376</v>
      </c>
      <c r="O138" s="307">
        <v>7.171669800597832E-4</v>
      </c>
      <c r="P138" s="289" t="s">
        <v>604</v>
      </c>
      <c r="Q138" s="288" t="s">
        <v>603</v>
      </c>
      <c r="R138" s="302">
        <v>3.1468479298981202E-3</v>
      </c>
      <c r="S138" s="302">
        <v>0.16906375764329037</v>
      </c>
      <c r="T138" s="302">
        <v>0.30481927710843376</v>
      </c>
      <c r="U138" s="302">
        <v>7.171669800597832E-4</v>
      </c>
      <c r="V138" s="17"/>
      <c r="W138" s="18"/>
      <c r="X138" s="19"/>
      <c r="Y138" s="20"/>
      <c r="Z138" s="20"/>
      <c r="AA138" s="21"/>
      <c r="AB138" s="22"/>
      <c r="AH138" s="27"/>
      <c r="AI138" s="27"/>
      <c r="AN138" s="58"/>
      <c r="AO138" s="58"/>
      <c r="AP138" s="58"/>
    </row>
    <row r="139" spans="1:42">
      <c r="A139" s="288">
        <v>123</v>
      </c>
      <c r="B139" s="288" t="s">
        <v>605</v>
      </c>
      <c r="C139" s="289" t="s">
        <v>532</v>
      </c>
      <c r="D139" s="289" t="s">
        <v>606</v>
      </c>
      <c r="E139" s="288" t="s">
        <v>567</v>
      </c>
      <c r="F139" s="289" t="s">
        <v>571</v>
      </c>
      <c r="G139" s="311" t="s">
        <v>1649</v>
      </c>
      <c r="H139" s="288">
        <v>502</v>
      </c>
      <c r="I139" s="304">
        <v>5.0851930036188197E-3</v>
      </c>
      <c r="J139" s="305">
        <v>5.9995417730640897E-2</v>
      </c>
      <c r="K139" s="305">
        <v>3.4699999999999998E-4</v>
      </c>
      <c r="L139" s="306">
        <v>1287</v>
      </c>
      <c r="M139" s="305">
        <f t="shared" si="38"/>
        <v>1.2869999999999999</v>
      </c>
      <c r="N139" s="305">
        <f t="shared" ref="N139:N140" si="40">L139/1000</f>
        <v>1.2869999999999999</v>
      </c>
      <c r="O139" s="307">
        <v>2.9762429672480995E-4</v>
      </c>
      <c r="P139" s="288" t="s">
        <v>607</v>
      </c>
      <c r="Q139" s="288" t="s">
        <v>605</v>
      </c>
      <c r="R139" s="302">
        <v>5.0851930036188197E-3</v>
      </c>
      <c r="S139" s="302">
        <v>5.9995417730640897E-2</v>
      </c>
      <c r="T139" s="302">
        <v>1.2869999999999999</v>
      </c>
      <c r="U139" s="302">
        <v>2.9762429672480995E-4</v>
      </c>
      <c r="V139" s="48"/>
      <c r="W139" s="18"/>
      <c r="X139" s="19"/>
      <c r="Y139" s="20"/>
      <c r="Z139" s="20"/>
      <c r="AA139" s="21"/>
      <c r="AB139" s="22"/>
      <c r="AH139" s="27"/>
      <c r="AI139" s="27"/>
      <c r="AN139" s="58"/>
      <c r="AO139" s="58"/>
      <c r="AP139" s="58"/>
    </row>
    <row r="140" spans="1:42">
      <c r="A140" s="288">
        <v>126</v>
      </c>
      <c r="B140" s="289" t="s">
        <v>582</v>
      </c>
      <c r="C140" s="289" t="s">
        <v>532</v>
      </c>
      <c r="D140" s="289" t="s">
        <v>608</v>
      </c>
      <c r="E140" s="288" t="s">
        <v>582</v>
      </c>
      <c r="F140" s="289" t="s">
        <v>609</v>
      </c>
      <c r="G140" s="311" t="s">
        <v>1635</v>
      </c>
      <c r="H140" s="288"/>
      <c r="I140" s="304">
        <v>7.6594132480302998E-3</v>
      </c>
      <c r="J140" s="305">
        <v>0.25452159072024799</v>
      </c>
      <c r="K140" s="305">
        <v>2.4499999999999999E-4</v>
      </c>
      <c r="L140" s="306">
        <v>409</v>
      </c>
      <c r="M140" s="305">
        <f t="shared" si="38"/>
        <v>0.40899999999999997</v>
      </c>
      <c r="N140" s="305">
        <f t="shared" si="40"/>
        <v>0.40899999999999997</v>
      </c>
      <c r="O140" s="307">
        <v>3.0864741882572887E-4</v>
      </c>
      <c r="P140" s="289" t="s">
        <v>610</v>
      </c>
      <c r="Q140" s="289" t="s">
        <v>582</v>
      </c>
      <c r="R140" s="302">
        <v>7.6594132480302998E-3</v>
      </c>
      <c r="S140" s="302">
        <v>0.25452159072024799</v>
      </c>
      <c r="T140" s="302">
        <v>0.40899999999999997</v>
      </c>
      <c r="U140" s="302">
        <v>3.0864741882572887E-4</v>
      </c>
      <c r="V140" s="17"/>
      <c r="W140" s="18"/>
      <c r="X140" s="19"/>
      <c r="Y140" s="20"/>
      <c r="Z140" s="20"/>
      <c r="AA140" s="21"/>
      <c r="AB140" s="22"/>
      <c r="AH140" s="27"/>
      <c r="AI140" s="27"/>
      <c r="AN140" s="58"/>
      <c r="AO140" s="58"/>
      <c r="AP140" s="58"/>
    </row>
    <row r="141" spans="1:42">
      <c r="A141" s="288">
        <v>127</v>
      </c>
      <c r="B141" s="288" t="s">
        <v>611</v>
      </c>
      <c r="C141" s="289" t="s">
        <v>532</v>
      </c>
      <c r="D141" s="289" t="s">
        <v>608</v>
      </c>
      <c r="E141" s="288" t="s">
        <v>582</v>
      </c>
      <c r="F141" s="289" t="s">
        <v>612</v>
      </c>
      <c r="G141" s="288" t="s">
        <v>613</v>
      </c>
      <c r="H141" s="288"/>
      <c r="I141" s="305">
        <v>3.8297066240151499E-4</v>
      </c>
      <c r="J141" s="307">
        <v>1.2726079536012401E-2</v>
      </c>
      <c r="K141" s="305">
        <v>1.225E-5</v>
      </c>
      <c r="L141" s="306">
        <v>409</v>
      </c>
      <c r="M141" s="305">
        <f t="shared" si="38"/>
        <v>0.40899999999999997</v>
      </c>
      <c r="N141" s="305">
        <v>2.0449999999999999E-2</v>
      </c>
      <c r="O141" s="307">
        <v>1.5432370941286443E-5</v>
      </c>
      <c r="P141" s="289" t="s">
        <v>614</v>
      </c>
      <c r="Q141" s="288" t="s">
        <v>611</v>
      </c>
      <c r="R141" s="315">
        <v>3.8297066240151499E-4</v>
      </c>
      <c r="S141" s="315">
        <v>1.2726079536012401E-2</v>
      </c>
      <c r="T141" s="315">
        <v>2.0449999999999999E-2</v>
      </c>
      <c r="U141" s="315">
        <v>1.5432370941286443E-5</v>
      </c>
      <c r="V141" s="73"/>
      <c r="W141" s="18"/>
      <c r="X141" s="19"/>
      <c r="Y141" s="20"/>
      <c r="Z141" s="20"/>
      <c r="AA141" s="21"/>
      <c r="AB141" s="22"/>
      <c r="AH141" s="27"/>
      <c r="AI141" s="27"/>
      <c r="AN141" s="58"/>
      <c r="AO141" s="58"/>
      <c r="AP141" s="58"/>
    </row>
    <row r="142" spans="1:42">
      <c r="A142" s="290">
        <v>129</v>
      </c>
      <c r="B142" s="288" t="s">
        <v>615</v>
      </c>
      <c r="C142" s="289" t="s">
        <v>532</v>
      </c>
      <c r="D142" s="289" t="s">
        <v>608</v>
      </c>
      <c r="E142" s="288" t="s">
        <v>582</v>
      </c>
      <c r="F142" s="289" t="s">
        <v>612</v>
      </c>
      <c r="G142" s="303" t="s">
        <v>613</v>
      </c>
      <c r="H142" s="288"/>
      <c r="I142" s="304">
        <v>3.8297066240151499E-4</v>
      </c>
      <c r="J142" s="305">
        <v>1.2726079536012401E-2</v>
      </c>
      <c r="K142" s="305">
        <v>1.225E-5</v>
      </c>
      <c r="L142" s="306" t="s">
        <v>177</v>
      </c>
      <c r="M142" s="306" t="s">
        <v>177</v>
      </c>
      <c r="N142" s="305">
        <v>2.0449999999999999E-2</v>
      </c>
      <c r="O142" s="307">
        <v>1.5432370941286443E-5</v>
      </c>
      <c r="P142" s="289" t="s">
        <v>616</v>
      </c>
      <c r="Q142" s="288" t="s">
        <v>615</v>
      </c>
      <c r="R142" s="302">
        <v>3.8297066240151499E-4</v>
      </c>
      <c r="S142" s="302">
        <v>1.2726079536012401E-2</v>
      </c>
      <c r="T142" s="302">
        <v>2.0449999999999999E-2</v>
      </c>
      <c r="U142" s="302">
        <v>1.5432370941286443E-5</v>
      </c>
      <c r="V142" s="48"/>
      <c r="W142" s="18"/>
      <c r="X142" s="19"/>
      <c r="Y142" s="20"/>
      <c r="Z142" s="20"/>
      <c r="AA142" s="21"/>
      <c r="AB142" s="22"/>
      <c r="AH142" s="27"/>
      <c r="AI142" s="27"/>
      <c r="AN142" s="58"/>
      <c r="AO142" s="58"/>
      <c r="AP142" s="58"/>
    </row>
    <row r="143" spans="1:42">
      <c r="A143" s="288">
        <v>130</v>
      </c>
      <c r="B143" s="288" t="s">
        <v>617</v>
      </c>
      <c r="C143" s="289" t="s">
        <v>532</v>
      </c>
      <c r="D143" s="289" t="s">
        <v>618</v>
      </c>
      <c r="E143" s="288" t="s">
        <v>619</v>
      </c>
      <c r="F143" s="289" t="s">
        <v>620</v>
      </c>
      <c r="G143" s="288" t="s">
        <v>621</v>
      </c>
      <c r="H143" s="288"/>
      <c r="I143" s="319">
        <v>8.3620838220657844E-5</v>
      </c>
      <c r="J143" s="314">
        <v>5.6674497841202156E-3</v>
      </c>
      <c r="K143" s="305">
        <v>1.7050000000000001E-5</v>
      </c>
      <c r="L143" s="306">
        <v>1943</v>
      </c>
      <c r="M143" s="305">
        <f t="shared" ref="M143:M147" si="41">L143/1000</f>
        <v>1.9430000000000001</v>
      </c>
      <c r="N143" s="305">
        <v>7.7719999999999997E-2</v>
      </c>
      <c r="O143" s="320">
        <v>7.6059542496340328E-5</v>
      </c>
      <c r="P143" s="289" t="s">
        <v>622</v>
      </c>
      <c r="Q143" s="288" t="s">
        <v>617</v>
      </c>
      <c r="R143" s="315">
        <v>8.3620838220657844E-5</v>
      </c>
      <c r="S143" s="315">
        <v>5.6674497841202156E-3</v>
      </c>
      <c r="T143" s="315">
        <v>7.7719999999999997E-2</v>
      </c>
      <c r="U143" s="315">
        <v>7.6059542496340328E-5</v>
      </c>
      <c r="V143" s="73"/>
      <c r="W143" s="18"/>
      <c r="X143" s="19"/>
      <c r="Y143" s="20"/>
      <c r="Z143" s="20"/>
      <c r="AA143" s="21"/>
      <c r="AB143" s="22"/>
      <c r="AH143" s="27"/>
      <c r="AI143" s="27"/>
      <c r="AN143" s="58"/>
      <c r="AO143" s="58"/>
      <c r="AP143" s="58"/>
    </row>
    <row r="144" spans="1:42">
      <c r="A144" s="288">
        <v>132</v>
      </c>
      <c r="B144" s="288" t="s">
        <v>623</v>
      </c>
      <c r="C144" s="289" t="s">
        <v>532</v>
      </c>
      <c r="D144" s="289" t="s">
        <v>618</v>
      </c>
      <c r="E144" s="288" t="s">
        <v>6</v>
      </c>
      <c r="F144" s="289" t="s">
        <v>587</v>
      </c>
      <c r="G144" s="288" t="s">
        <v>624</v>
      </c>
      <c r="H144" s="288"/>
      <c r="I144" s="319">
        <v>2.0905209555164457E-3</v>
      </c>
      <c r="J144" s="314">
        <v>0.14168624460300538</v>
      </c>
      <c r="K144" s="305">
        <v>4.2624999999999998E-4</v>
      </c>
      <c r="L144" s="306">
        <v>1943</v>
      </c>
      <c r="M144" s="305">
        <f t="shared" si="41"/>
        <v>1.9430000000000001</v>
      </c>
      <c r="N144" s="305">
        <f t="shared" ref="N144:N146" si="42">L144/1000</f>
        <v>1.9430000000000001</v>
      </c>
      <c r="O144" s="320">
        <v>2.1605319317801021E-3</v>
      </c>
      <c r="P144" s="289" t="s">
        <v>625</v>
      </c>
      <c r="Q144" s="288" t="s">
        <v>623</v>
      </c>
      <c r="R144" s="321">
        <v>2.0905209555164457E-3</v>
      </c>
      <c r="S144" s="321">
        <v>0.14168624460300538</v>
      </c>
      <c r="T144" s="321">
        <v>1.9430000000000001</v>
      </c>
      <c r="U144" s="321">
        <v>2.1605319317801021E-3</v>
      </c>
      <c r="V144" s="74"/>
      <c r="W144" s="18"/>
      <c r="X144" s="19"/>
      <c r="Y144" s="20"/>
      <c r="Z144" s="20"/>
      <c r="AA144" s="21"/>
      <c r="AB144" s="22"/>
      <c r="AH144" s="27"/>
      <c r="AI144" s="27"/>
      <c r="AN144" s="58"/>
      <c r="AO144" s="58"/>
      <c r="AP144" s="58"/>
    </row>
    <row r="145" spans="1:42">
      <c r="A145" s="288">
        <v>137</v>
      </c>
      <c r="B145" s="288" t="s">
        <v>626</v>
      </c>
      <c r="C145" s="288" t="s">
        <v>532</v>
      </c>
      <c r="D145" s="288" t="s">
        <v>627</v>
      </c>
      <c r="E145" s="288" t="s">
        <v>567</v>
      </c>
      <c r="F145" s="289" t="s">
        <v>626</v>
      </c>
      <c r="G145" s="288" t="s">
        <v>628</v>
      </c>
      <c r="H145" s="288"/>
      <c r="I145" s="304">
        <v>8.4188576965875186E-3</v>
      </c>
      <c r="J145" s="305">
        <v>3.7019919874172996E-2</v>
      </c>
      <c r="K145" s="305">
        <v>2.5000000000000001E-5</v>
      </c>
      <c r="L145" s="306">
        <v>204</v>
      </c>
      <c r="M145" s="305">
        <f t="shared" si="41"/>
        <v>0.20399999999999999</v>
      </c>
      <c r="N145" s="305">
        <f t="shared" si="42"/>
        <v>0.20399999999999999</v>
      </c>
      <c r="O145" s="307">
        <v>2.4250868622021553E-4</v>
      </c>
      <c r="P145" s="288" t="s">
        <v>629</v>
      </c>
      <c r="Q145" s="288" t="s">
        <v>626</v>
      </c>
      <c r="R145" s="302">
        <v>8.4188576965875186E-3</v>
      </c>
      <c r="S145" s="302">
        <v>3.7019919874172996E-2</v>
      </c>
      <c r="T145" s="302">
        <v>0.20399999999999999</v>
      </c>
      <c r="U145" s="302">
        <v>2.4250868622021553E-4</v>
      </c>
      <c r="V145" s="17"/>
      <c r="W145" s="18"/>
      <c r="X145" s="19"/>
      <c r="Y145" s="20"/>
      <c r="Z145" s="20"/>
      <c r="AA145" s="21"/>
      <c r="AB145" s="22"/>
      <c r="AH145" s="27"/>
      <c r="AI145" s="27"/>
      <c r="AN145" s="58"/>
      <c r="AO145" s="58"/>
      <c r="AP145" s="58"/>
    </row>
    <row r="146" spans="1:42">
      <c r="A146" s="288">
        <v>138</v>
      </c>
      <c r="B146" s="288" t="s">
        <v>630</v>
      </c>
      <c r="C146" s="289" t="s">
        <v>532</v>
      </c>
      <c r="D146" s="289" t="s">
        <v>631</v>
      </c>
      <c r="E146" s="288" t="s">
        <v>630</v>
      </c>
      <c r="F146" s="288" t="s">
        <v>632</v>
      </c>
      <c r="G146" s="311" t="s">
        <v>1649</v>
      </c>
      <c r="H146" s="288">
        <v>503</v>
      </c>
      <c r="I146" s="304">
        <v>5.0851930036188197E-3</v>
      </c>
      <c r="J146" s="305">
        <v>5.9995417730640897E-2</v>
      </c>
      <c r="K146" s="305">
        <v>3.4699999999999998E-4</v>
      </c>
      <c r="L146" s="306">
        <v>3307</v>
      </c>
      <c r="M146" s="305">
        <f t="shared" si="41"/>
        <v>3.3069999999999999</v>
      </c>
      <c r="N146" s="305">
        <f t="shared" si="42"/>
        <v>3.3069999999999999</v>
      </c>
      <c r="O146" s="307">
        <v>4.5318147816043826E-4</v>
      </c>
      <c r="P146" s="289" t="s">
        <v>633</v>
      </c>
      <c r="Q146" s="288" t="s">
        <v>630</v>
      </c>
      <c r="R146" s="302">
        <v>5.0851930036188197E-3</v>
      </c>
      <c r="S146" s="302">
        <v>5.9995417730640897E-2</v>
      </c>
      <c r="T146" s="302">
        <v>3.3069999999999999</v>
      </c>
      <c r="U146" s="302">
        <v>4.5318147816043826E-4</v>
      </c>
      <c r="V146" s="48"/>
      <c r="W146" s="18"/>
      <c r="X146" s="19"/>
      <c r="Y146" s="20"/>
      <c r="Z146" s="20"/>
      <c r="AA146" s="21"/>
      <c r="AB146" s="22"/>
      <c r="AH146" s="27"/>
      <c r="AI146" s="27"/>
      <c r="AN146" s="58"/>
      <c r="AO146" s="58"/>
      <c r="AP146" s="58"/>
    </row>
    <row r="147" spans="1:42">
      <c r="A147" s="288">
        <v>113</v>
      </c>
      <c r="B147" s="288" t="s">
        <v>634</v>
      </c>
      <c r="C147" s="289" t="s">
        <v>532</v>
      </c>
      <c r="D147" s="289" t="s">
        <v>635</v>
      </c>
      <c r="E147" s="288" t="s">
        <v>567</v>
      </c>
      <c r="F147" s="288" t="s">
        <v>634</v>
      </c>
      <c r="G147" s="311" t="s">
        <v>1650</v>
      </c>
      <c r="H147" s="288">
        <v>498</v>
      </c>
      <c r="I147" s="304">
        <v>2.5425965018094099E-4</v>
      </c>
      <c r="J147" s="305">
        <v>2.999770886532045E-3</v>
      </c>
      <c r="K147" s="305">
        <v>1.7349999999999998E-5</v>
      </c>
      <c r="L147" s="306">
        <v>726</v>
      </c>
      <c r="M147" s="305">
        <f t="shared" si="41"/>
        <v>0.72599999999999998</v>
      </c>
      <c r="N147" s="305">
        <v>3.6299999999999999E-2</v>
      </c>
      <c r="O147" s="307">
        <v>1.4881214836240498E-5</v>
      </c>
      <c r="P147" s="289" t="s">
        <v>636</v>
      </c>
      <c r="Q147" s="288" t="s">
        <v>634</v>
      </c>
      <c r="R147" s="315">
        <v>2.5425965018094099E-4</v>
      </c>
      <c r="S147" s="315">
        <v>2.999770886532045E-3</v>
      </c>
      <c r="T147" s="315">
        <v>3.6299999999999999E-2</v>
      </c>
      <c r="U147" s="315">
        <v>1.4881214836240498E-5</v>
      </c>
      <c r="V147" s="73"/>
      <c r="W147" s="18"/>
      <c r="X147" s="19"/>
      <c r="Y147" s="20"/>
      <c r="Z147" s="20"/>
      <c r="AA147" s="21"/>
      <c r="AB147" s="22"/>
      <c r="AH147" s="27"/>
      <c r="AI147" s="27"/>
      <c r="AN147" s="58"/>
      <c r="AO147" s="58"/>
      <c r="AP147" s="58"/>
    </row>
    <row r="148" spans="1:42">
      <c r="A148" s="288">
        <v>114</v>
      </c>
      <c r="B148" s="288" t="s">
        <v>637</v>
      </c>
      <c r="C148" s="288" t="s">
        <v>532</v>
      </c>
      <c r="D148" s="289" t="s">
        <v>635</v>
      </c>
      <c r="E148" s="288" t="s">
        <v>567</v>
      </c>
      <c r="F148" s="288" t="s">
        <v>638</v>
      </c>
      <c r="G148" s="288" t="s">
        <v>639</v>
      </c>
      <c r="H148" s="288"/>
      <c r="I148" s="304">
        <f>0.508519300361882/100</f>
        <v>5.0851930036188197E-3</v>
      </c>
      <c r="J148" s="305">
        <f>5.99954177306409/100</f>
        <v>5.9995417730640897E-2</v>
      </c>
      <c r="K148" s="305">
        <f>347/1000000</f>
        <v>3.4699999999999998E-4</v>
      </c>
      <c r="L148" s="306" t="s">
        <v>177</v>
      </c>
      <c r="M148" s="306" t="s">
        <v>177</v>
      </c>
      <c r="N148" s="305">
        <v>0.72599999999999998</v>
      </c>
      <c r="O148" s="307">
        <v>2.9762429672480995E-4</v>
      </c>
      <c r="P148" s="288" t="s">
        <v>640</v>
      </c>
      <c r="Q148" s="288" t="s">
        <v>637</v>
      </c>
      <c r="R148" s="302">
        <v>5.0851930036188197E-3</v>
      </c>
      <c r="S148" s="302">
        <v>5.9995417730640897E-2</v>
      </c>
      <c r="T148" s="302">
        <v>0.72599999999999998</v>
      </c>
      <c r="U148" s="302">
        <v>2.9762429672480995E-4</v>
      </c>
      <c r="V148" s="48"/>
      <c r="W148" s="18"/>
      <c r="X148" s="19"/>
      <c r="Y148" s="20"/>
      <c r="Z148" s="20"/>
      <c r="AA148" s="21"/>
      <c r="AB148" s="22"/>
      <c r="AH148" s="27"/>
      <c r="AI148" s="27"/>
      <c r="AN148" s="58"/>
      <c r="AO148" s="58"/>
      <c r="AP148" s="58"/>
    </row>
    <row r="149" spans="1:42">
      <c r="A149" s="290">
        <v>121</v>
      </c>
      <c r="B149" s="289" t="s">
        <v>641</v>
      </c>
      <c r="C149" s="289" t="s">
        <v>532</v>
      </c>
      <c r="D149" s="289" t="s">
        <v>635</v>
      </c>
      <c r="E149" s="288" t="s">
        <v>567</v>
      </c>
      <c r="F149" s="289" t="s">
        <v>571</v>
      </c>
      <c r="G149" s="311" t="s">
        <v>1647</v>
      </c>
      <c r="H149" s="288">
        <v>492</v>
      </c>
      <c r="I149" s="304">
        <v>5.0851930036188197E-3</v>
      </c>
      <c r="J149" s="305">
        <v>5.9995417730640897E-2</v>
      </c>
      <c r="K149" s="305">
        <v>3.4699999999999998E-4</v>
      </c>
      <c r="L149" s="306" t="s">
        <v>177</v>
      </c>
      <c r="M149" s="306" t="s">
        <v>177</v>
      </c>
      <c r="N149" s="305">
        <v>0.72599999999999998</v>
      </c>
      <c r="O149" s="307">
        <v>2.9762429672480995E-4</v>
      </c>
      <c r="P149" s="289" t="s">
        <v>642</v>
      </c>
      <c r="Q149" s="289" t="s">
        <v>641</v>
      </c>
      <c r="R149" s="302">
        <v>5.0851930036188197E-3</v>
      </c>
      <c r="S149" s="302">
        <v>5.9995417730640897E-2</v>
      </c>
      <c r="T149" s="302">
        <v>0.72599999999999998</v>
      </c>
      <c r="U149" s="302">
        <v>2.9762429672480995E-4</v>
      </c>
      <c r="V149" s="48"/>
      <c r="W149" s="18"/>
      <c r="X149" s="19"/>
      <c r="Y149" s="20"/>
      <c r="Z149" s="20"/>
      <c r="AA149" s="21"/>
      <c r="AB149" s="22"/>
      <c r="AH149" s="27"/>
      <c r="AI149" s="27"/>
      <c r="AN149" s="58"/>
      <c r="AO149" s="58"/>
      <c r="AP149" s="58"/>
    </row>
    <row r="150" spans="1:42">
      <c r="A150" s="288">
        <v>124</v>
      </c>
      <c r="B150" s="288" t="s">
        <v>643</v>
      </c>
      <c r="C150" s="289" t="s">
        <v>532</v>
      </c>
      <c r="D150" s="289" t="s">
        <v>635</v>
      </c>
      <c r="E150" s="288" t="s">
        <v>567</v>
      </c>
      <c r="F150" s="289" t="s">
        <v>644</v>
      </c>
      <c r="G150" s="311" t="s">
        <v>1651</v>
      </c>
      <c r="H150" s="288">
        <v>499</v>
      </c>
      <c r="I150" s="304">
        <v>2.5425965018094099E-4</v>
      </c>
      <c r="J150" s="305">
        <v>2.999770886532045E-3</v>
      </c>
      <c r="K150" s="305">
        <v>1.7349999999999998E-5</v>
      </c>
      <c r="L150" s="306">
        <v>726</v>
      </c>
      <c r="M150" s="305">
        <f>L150/1000</f>
        <v>0.72599999999999998</v>
      </c>
      <c r="N150" s="305">
        <v>3.6299999999999999E-2</v>
      </c>
      <c r="O150" s="307">
        <v>1.4881214836240498E-5</v>
      </c>
      <c r="P150" s="289" t="s">
        <v>645</v>
      </c>
      <c r="Q150" s="288" t="s">
        <v>643</v>
      </c>
      <c r="R150" s="302">
        <v>2.5425965018094099E-4</v>
      </c>
      <c r="S150" s="302">
        <v>2.999770886532045E-3</v>
      </c>
      <c r="T150" s="302">
        <v>3.6299999999999999E-2</v>
      </c>
      <c r="U150" s="302">
        <v>1.4881214836240498E-5</v>
      </c>
      <c r="V150" s="17"/>
      <c r="W150" s="18"/>
      <c r="X150" s="19"/>
      <c r="Y150" s="20"/>
      <c r="Z150" s="20"/>
      <c r="AA150" s="21"/>
      <c r="AB150" s="22"/>
      <c r="AH150" s="27"/>
      <c r="AI150" s="27"/>
      <c r="AN150" s="58"/>
      <c r="AO150" s="58"/>
      <c r="AP150" s="58"/>
    </row>
    <row r="151" spans="1:42">
      <c r="A151" s="290">
        <v>125</v>
      </c>
      <c r="B151" s="289" t="s">
        <v>646</v>
      </c>
      <c r="C151" s="289" t="s">
        <v>532</v>
      </c>
      <c r="D151" s="289" t="s">
        <v>635</v>
      </c>
      <c r="E151" s="288" t="s">
        <v>567</v>
      </c>
      <c r="F151" s="289" t="s">
        <v>647</v>
      </c>
      <c r="G151" s="311" t="s">
        <v>1652</v>
      </c>
      <c r="H151" s="288">
        <v>496</v>
      </c>
      <c r="I151" s="304">
        <v>3.1660297063617504E-2</v>
      </c>
      <c r="J151" s="305">
        <v>0.3735301190055475</v>
      </c>
      <c r="K151" s="305">
        <v>2.1604141815772032E-3</v>
      </c>
      <c r="L151" s="306" t="s">
        <v>177</v>
      </c>
      <c r="M151" s="306" t="s">
        <v>177</v>
      </c>
      <c r="N151" s="305">
        <v>4.5200596419999997</v>
      </c>
      <c r="O151" s="307">
        <v>1.8530021654934324E-3</v>
      </c>
      <c r="P151" s="289" t="s">
        <v>648</v>
      </c>
      <c r="Q151" s="289" t="s">
        <v>646</v>
      </c>
      <c r="R151" s="302">
        <v>3.1660297063617504E-2</v>
      </c>
      <c r="S151" s="302">
        <v>0.3735301190055475</v>
      </c>
      <c r="T151" s="302">
        <v>4.5200596419999997</v>
      </c>
      <c r="U151" s="302">
        <v>1.8530021654934324E-3</v>
      </c>
      <c r="V151" s="17"/>
      <c r="W151" s="18"/>
      <c r="X151" s="19"/>
      <c r="Y151" s="20"/>
      <c r="Z151" s="20"/>
      <c r="AA151" s="21"/>
      <c r="AB151" s="22"/>
      <c r="AH151" s="27"/>
      <c r="AI151" s="27"/>
      <c r="AN151" s="58"/>
      <c r="AO151" s="58"/>
      <c r="AP151" s="58"/>
    </row>
    <row r="152" spans="1:42">
      <c r="A152" s="288">
        <v>143</v>
      </c>
      <c r="B152" s="289" t="s">
        <v>649</v>
      </c>
      <c r="C152" s="289" t="s">
        <v>532</v>
      </c>
      <c r="D152" s="289" t="s">
        <v>635</v>
      </c>
      <c r="E152" s="288" t="s">
        <v>567</v>
      </c>
      <c r="F152" s="289" t="s">
        <v>571</v>
      </c>
      <c r="G152" s="311" t="s">
        <v>1635</v>
      </c>
      <c r="H152" s="288">
        <v>494</v>
      </c>
      <c r="I152" s="304">
        <v>5.0851930036188197E-3</v>
      </c>
      <c r="J152" s="305">
        <v>5.9995417730640897E-2</v>
      </c>
      <c r="K152" s="305">
        <v>3.4699999999999998E-4</v>
      </c>
      <c r="L152" s="306">
        <v>726</v>
      </c>
      <c r="M152" s="305">
        <f t="shared" ref="M152:M154" si="43">L152/1000</f>
        <v>0.72599999999999998</v>
      </c>
      <c r="N152" s="305">
        <f>L152/1000</f>
        <v>0.72599999999999998</v>
      </c>
      <c r="O152" s="307">
        <v>2.9762429672480995E-4</v>
      </c>
      <c r="P152" s="289" t="s">
        <v>650</v>
      </c>
      <c r="Q152" s="289" t="s">
        <v>649</v>
      </c>
      <c r="R152" s="302">
        <v>5.0851930036188197E-3</v>
      </c>
      <c r="S152" s="302">
        <v>5.9995417730640897E-2</v>
      </c>
      <c r="T152" s="302">
        <v>0.72599999999999998</v>
      </c>
      <c r="U152" s="302">
        <v>2.9762429672480995E-4</v>
      </c>
      <c r="V152" s="48"/>
      <c r="W152" s="18"/>
      <c r="X152" s="19"/>
      <c r="Y152" s="20"/>
      <c r="Z152" s="20"/>
      <c r="AA152" s="21"/>
      <c r="AB152" s="22"/>
      <c r="AH152" s="27"/>
      <c r="AI152" s="27"/>
      <c r="AN152" s="58"/>
      <c r="AO152" s="58"/>
      <c r="AP152" s="58"/>
    </row>
    <row r="153" spans="1:42">
      <c r="A153" s="288">
        <v>144</v>
      </c>
      <c r="B153" s="288" t="s">
        <v>651</v>
      </c>
      <c r="C153" s="289" t="s">
        <v>532</v>
      </c>
      <c r="D153" s="289" t="s">
        <v>635</v>
      </c>
      <c r="E153" s="288" t="s">
        <v>567</v>
      </c>
      <c r="F153" s="289" t="s">
        <v>644</v>
      </c>
      <c r="G153" s="311" t="s">
        <v>1651</v>
      </c>
      <c r="H153" s="288">
        <v>500</v>
      </c>
      <c r="I153" s="304">
        <v>2.5425965018094099E-4</v>
      </c>
      <c r="J153" s="305">
        <v>2.999770886532045E-3</v>
      </c>
      <c r="K153" s="305">
        <v>1.7349999999999998E-5</v>
      </c>
      <c r="L153" s="306">
        <v>726</v>
      </c>
      <c r="M153" s="305">
        <f t="shared" si="43"/>
        <v>0.72599999999999998</v>
      </c>
      <c r="N153" s="305">
        <v>3.6299999999999999E-2</v>
      </c>
      <c r="O153" s="307">
        <v>1.4881214836240498E-5</v>
      </c>
      <c r="P153" s="289" t="s">
        <v>645</v>
      </c>
      <c r="Q153" s="288" t="s">
        <v>651</v>
      </c>
      <c r="R153" s="302">
        <v>2.5425965018094099E-4</v>
      </c>
      <c r="S153" s="302">
        <v>2.999770886532045E-3</v>
      </c>
      <c r="T153" s="302">
        <v>3.6299999999999999E-2</v>
      </c>
      <c r="U153" s="302">
        <v>1.4881214836240498E-5</v>
      </c>
      <c r="V153" s="17"/>
      <c r="W153" s="18"/>
      <c r="X153" s="19"/>
      <c r="Y153" s="20"/>
      <c r="Z153" s="20"/>
      <c r="AA153" s="21"/>
      <c r="AB153" s="22"/>
      <c r="AH153" s="27"/>
      <c r="AI153" s="27"/>
      <c r="AN153" s="58"/>
      <c r="AO153" s="58"/>
      <c r="AP153" s="58"/>
    </row>
    <row r="154" spans="1:42">
      <c r="A154" s="290">
        <v>145</v>
      </c>
      <c r="B154" s="288" t="s">
        <v>652</v>
      </c>
      <c r="C154" s="289" t="s">
        <v>532</v>
      </c>
      <c r="D154" s="289" t="s">
        <v>635</v>
      </c>
      <c r="E154" s="288" t="s">
        <v>567</v>
      </c>
      <c r="F154" s="289" t="s">
        <v>647</v>
      </c>
      <c r="G154" s="311" t="s">
        <v>1652</v>
      </c>
      <c r="H154" s="288">
        <v>497</v>
      </c>
      <c r="I154" s="304">
        <v>3.1660297063617504E-2</v>
      </c>
      <c r="J154" s="305">
        <v>0.3735301190055475</v>
      </c>
      <c r="K154" s="305">
        <v>2.1604141815772032E-3</v>
      </c>
      <c r="L154" s="306">
        <v>726</v>
      </c>
      <c r="M154" s="305">
        <f t="shared" si="43"/>
        <v>0.72599999999999998</v>
      </c>
      <c r="N154" s="305">
        <v>4.5200596419999997</v>
      </c>
      <c r="O154" s="307">
        <v>1.8530021654934324E-3</v>
      </c>
      <c r="P154" s="289" t="s">
        <v>648</v>
      </c>
      <c r="Q154" s="288" t="s">
        <v>652</v>
      </c>
      <c r="R154" s="302">
        <v>3.1660297063617504E-2</v>
      </c>
      <c r="S154" s="302">
        <v>0.3735301190055475</v>
      </c>
      <c r="T154" s="302">
        <v>4.5200596419999997</v>
      </c>
      <c r="U154" s="302">
        <v>1.8530021654934324E-3</v>
      </c>
      <c r="V154" s="17"/>
      <c r="W154" s="18"/>
      <c r="X154" s="19"/>
      <c r="Y154" s="20"/>
      <c r="Z154" s="20"/>
      <c r="AA154" s="21"/>
      <c r="AB154" s="22"/>
      <c r="AH154" s="27"/>
      <c r="AI154" s="27"/>
      <c r="AN154" s="58"/>
      <c r="AO154" s="58"/>
      <c r="AP154" s="58"/>
    </row>
    <row r="155" spans="1:42">
      <c r="A155" s="288">
        <v>147</v>
      </c>
      <c r="B155" s="289" t="s">
        <v>653</v>
      </c>
      <c r="C155" s="289" t="s">
        <v>532</v>
      </c>
      <c r="D155" s="289" t="s">
        <v>635</v>
      </c>
      <c r="E155" s="288"/>
      <c r="F155" s="289"/>
      <c r="G155" s="288"/>
      <c r="H155" s="288"/>
      <c r="I155" s="304"/>
      <c r="J155" s="305"/>
      <c r="K155" s="305"/>
      <c r="L155" s="306"/>
      <c r="M155" s="305"/>
      <c r="N155" s="305"/>
      <c r="O155" s="307"/>
      <c r="P155" s="289" t="s">
        <v>654</v>
      </c>
      <c r="Q155" s="289" t="s">
        <v>653</v>
      </c>
      <c r="R155" s="302">
        <v>5.0851930036188197E-3</v>
      </c>
      <c r="S155" s="302">
        <v>5.9995417730640897E-2</v>
      </c>
      <c r="T155" s="302">
        <v>0.72599999999999998</v>
      </c>
      <c r="U155" s="302">
        <v>2.9762429672480995E-4</v>
      </c>
      <c r="V155" s="48"/>
      <c r="W155" s="67" t="s">
        <v>213</v>
      </c>
      <c r="X155" s="19">
        <f t="shared" ref="X155:AA155" si="44">AVERAGE(R131:R155)</f>
        <v>5.8084261265269332E-3</v>
      </c>
      <c r="Y155" s="20">
        <f t="shared" si="44"/>
        <v>9.5654114034282797E-2</v>
      </c>
      <c r="Z155" s="20">
        <f t="shared" si="44"/>
        <v>0.92625252594771978</v>
      </c>
      <c r="AA155" s="21">
        <f t="shared" si="44"/>
        <v>4.405635598064823E-4</v>
      </c>
      <c r="AB155" s="22"/>
      <c r="AH155" s="27"/>
      <c r="AI155" s="27"/>
      <c r="AN155" s="58"/>
      <c r="AO155" s="58"/>
      <c r="AP155" s="58"/>
    </row>
    <row r="156" spans="1:42">
      <c r="A156" s="288">
        <v>148</v>
      </c>
      <c r="B156" s="303" t="s">
        <v>655</v>
      </c>
      <c r="C156" s="288" t="s">
        <v>656</v>
      </c>
      <c r="D156" s="288" t="s">
        <v>656</v>
      </c>
      <c r="E156" s="288" t="s">
        <v>657</v>
      </c>
      <c r="F156" s="288" t="s">
        <v>658</v>
      </c>
      <c r="G156" s="311" t="s">
        <v>1653</v>
      </c>
      <c r="H156" s="288"/>
      <c r="I156" s="304">
        <v>2.3887946390805602E-3</v>
      </c>
      <c r="J156" s="305">
        <v>3.1657451985185346E-2</v>
      </c>
      <c r="K156" s="305">
        <v>4.8387096774193554E-5</v>
      </c>
      <c r="L156" s="306">
        <v>3166</v>
      </c>
      <c r="M156" s="305">
        <f t="shared" ref="M156:M160" si="45">L156/1000</f>
        <v>3.1659999999999999</v>
      </c>
      <c r="N156" s="305">
        <v>1.2255483869999999</v>
      </c>
      <c r="O156" s="307">
        <v>3.370941855377776E-4</v>
      </c>
      <c r="P156" s="288" t="s">
        <v>659</v>
      </c>
      <c r="Q156" s="303" t="s">
        <v>655</v>
      </c>
      <c r="R156" s="302">
        <v>2.3887946390805602E-3</v>
      </c>
      <c r="S156" s="302">
        <v>3.1657451985185346E-2</v>
      </c>
      <c r="T156" s="302">
        <v>1.2255483869999999</v>
      </c>
      <c r="U156" s="302">
        <v>3.370941855377776E-4</v>
      </c>
      <c r="V156" s="17"/>
      <c r="W156" s="18"/>
      <c r="X156" s="19"/>
      <c r="Y156" s="20"/>
      <c r="Z156" s="20"/>
      <c r="AA156" s="21"/>
      <c r="AB156" s="22"/>
      <c r="AH156" s="27"/>
      <c r="AI156" s="27"/>
      <c r="AN156" s="58"/>
      <c r="AO156" s="58"/>
      <c r="AP156" s="58"/>
    </row>
    <row r="157" spans="1:42">
      <c r="A157" s="290">
        <v>149</v>
      </c>
      <c r="B157" s="288" t="s">
        <v>660</v>
      </c>
      <c r="C157" s="288" t="s">
        <v>656</v>
      </c>
      <c r="D157" s="288" t="s">
        <v>656</v>
      </c>
      <c r="E157" s="288" t="s">
        <v>657</v>
      </c>
      <c r="F157" s="288" t="s">
        <v>661</v>
      </c>
      <c r="G157" s="311" t="s">
        <v>1653</v>
      </c>
      <c r="H157" s="288"/>
      <c r="I157" s="304">
        <v>2.3255896375025138E-3</v>
      </c>
      <c r="J157" s="305">
        <v>3.0819828997446758E-2</v>
      </c>
      <c r="K157" s="305">
        <v>4.7106824925816024E-5</v>
      </c>
      <c r="L157" s="306">
        <v>3166</v>
      </c>
      <c r="M157" s="305">
        <f t="shared" si="45"/>
        <v>3.1659999999999999</v>
      </c>
      <c r="N157" s="305">
        <v>1.193121662</v>
      </c>
      <c r="O157" s="307">
        <v>3.2817502682053179E-4</v>
      </c>
      <c r="P157" s="288" t="s">
        <v>662</v>
      </c>
      <c r="Q157" s="288" t="s">
        <v>660</v>
      </c>
      <c r="R157" s="302">
        <v>2.3255896375025138E-3</v>
      </c>
      <c r="S157" s="302">
        <v>3.0819828997446758E-2</v>
      </c>
      <c r="T157" s="302">
        <v>1.193121662</v>
      </c>
      <c r="U157" s="302">
        <v>3.2817502682053179E-4</v>
      </c>
      <c r="V157" s="17"/>
      <c r="W157" s="18"/>
      <c r="X157" s="19"/>
      <c r="Y157" s="20"/>
      <c r="Z157" s="20"/>
      <c r="AA157" s="21"/>
      <c r="AB157" s="22"/>
      <c r="AH157" s="27"/>
      <c r="AI157" s="27"/>
      <c r="AN157" s="58"/>
      <c r="AO157" s="58"/>
      <c r="AP157" s="58"/>
    </row>
    <row r="158" spans="1:42">
      <c r="A158" s="288">
        <v>150</v>
      </c>
      <c r="B158" s="288" t="s">
        <v>663</v>
      </c>
      <c r="C158" s="288" t="s">
        <v>656</v>
      </c>
      <c r="D158" s="288" t="s">
        <v>656</v>
      </c>
      <c r="E158" s="288" t="s">
        <v>657</v>
      </c>
      <c r="F158" s="288" t="s">
        <v>663</v>
      </c>
      <c r="G158" s="322" t="s">
        <v>1654</v>
      </c>
      <c r="H158" s="289"/>
      <c r="I158" s="304">
        <v>2.8976303441099901E-3</v>
      </c>
      <c r="J158" s="305">
        <v>1.4434923466321964E-2</v>
      </c>
      <c r="K158" s="305">
        <v>1.6114772727272725E-4</v>
      </c>
      <c r="L158" s="306">
        <v>956</v>
      </c>
      <c r="M158" s="305">
        <f t="shared" si="45"/>
        <v>0.95599999999999996</v>
      </c>
      <c r="N158" s="305">
        <v>0.31504545449999999</v>
      </c>
      <c r="O158" s="307">
        <v>1.7436574959999999E-4</v>
      </c>
      <c r="P158" s="288" t="s">
        <v>664</v>
      </c>
      <c r="Q158" s="288" t="s">
        <v>663</v>
      </c>
      <c r="R158" s="302">
        <v>2.8976303441099901E-3</v>
      </c>
      <c r="S158" s="302">
        <v>1.4434923466321964E-2</v>
      </c>
      <c r="T158" s="302">
        <v>0.31504545449999999</v>
      </c>
      <c r="U158" s="302">
        <v>1.7436574959999999E-4</v>
      </c>
      <c r="V158" s="48"/>
      <c r="W158" s="18"/>
      <c r="X158" s="19"/>
      <c r="Y158" s="20"/>
      <c r="Z158" s="20"/>
      <c r="AA158" s="21"/>
      <c r="AB158" s="22"/>
      <c r="AH158" s="27"/>
      <c r="AI158" s="27"/>
      <c r="AN158" s="58"/>
      <c r="AO158" s="58"/>
      <c r="AP158" s="58"/>
    </row>
    <row r="159" spans="1:42">
      <c r="A159" s="290">
        <v>151</v>
      </c>
      <c r="B159" s="288" t="s">
        <v>665</v>
      </c>
      <c r="C159" s="288" t="s">
        <v>656</v>
      </c>
      <c r="D159" s="288" t="s">
        <v>656</v>
      </c>
      <c r="E159" s="288" t="s">
        <v>657</v>
      </c>
      <c r="F159" s="288" t="s">
        <v>666</v>
      </c>
      <c r="G159" s="311" t="s">
        <v>1653</v>
      </c>
      <c r="H159" s="288"/>
      <c r="I159" s="304">
        <v>6.7171636864411322E-3</v>
      </c>
      <c r="J159" s="305">
        <v>8.9019074055687111E-2</v>
      </c>
      <c r="K159" s="305">
        <v>2.2314159292035395E-4</v>
      </c>
      <c r="L159" s="306">
        <v>3166</v>
      </c>
      <c r="M159" s="305">
        <f t="shared" si="45"/>
        <v>3.1659999999999999</v>
      </c>
      <c r="N159" s="305">
        <v>3.4461769910000002</v>
      </c>
      <c r="O159" s="307">
        <v>6.959199386544721E-4</v>
      </c>
      <c r="P159" s="288" t="s">
        <v>667</v>
      </c>
      <c r="Q159" s="288" t="s">
        <v>665</v>
      </c>
      <c r="R159" s="302">
        <v>6.7171636864411322E-3</v>
      </c>
      <c r="S159" s="302">
        <v>8.9019074055687111E-2</v>
      </c>
      <c r="T159" s="302">
        <v>3.4461769910000002</v>
      </c>
      <c r="U159" s="302">
        <v>6.959199386544721E-4</v>
      </c>
      <c r="V159" s="17"/>
      <c r="W159" s="18"/>
      <c r="X159" s="19"/>
      <c r="Y159" s="20"/>
      <c r="Z159" s="20"/>
      <c r="AA159" s="21"/>
      <c r="AB159" s="22"/>
      <c r="AH159" s="27"/>
      <c r="AI159" s="27"/>
      <c r="AN159" s="58"/>
      <c r="AO159" s="58"/>
      <c r="AP159" s="58"/>
    </row>
    <row r="160" spans="1:42">
      <c r="A160" s="288">
        <v>152</v>
      </c>
      <c r="B160" s="288" t="s">
        <v>668</v>
      </c>
      <c r="C160" s="289" t="s">
        <v>656</v>
      </c>
      <c r="D160" s="289" t="s">
        <v>656</v>
      </c>
      <c r="E160" s="288" t="s">
        <v>657</v>
      </c>
      <c r="F160" s="289" t="s">
        <v>669</v>
      </c>
      <c r="G160" s="311" t="s">
        <v>1653</v>
      </c>
      <c r="H160" s="288"/>
      <c r="I160" s="304">
        <v>2.0692254254943625E-3</v>
      </c>
      <c r="J160" s="305">
        <v>2.7422367533161289E-2</v>
      </c>
      <c r="K160" s="305">
        <v>4.191394658753709E-5</v>
      </c>
      <c r="L160" s="306">
        <v>3166</v>
      </c>
      <c r="M160" s="305">
        <f t="shared" si="45"/>
        <v>3.1659999999999999</v>
      </c>
      <c r="N160" s="305">
        <v>1.0615964389999999</v>
      </c>
      <c r="O160" s="307">
        <v>2.9199825221039441E-4</v>
      </c>
      <c r="P160" s="289" t="s">
        <v>670</v>
      </c>
      <c r="Q160" s="288" t="s">
        <v>668</v>
      </c>
      <c r="R160" s="302">
        <v>2.0692254254943625E-3</v>
      </c>
      <c r="S160" s="302">
        <v>2.7422367533161289E-2</v>
      </c>
      <c r="T160" s="302">
        <v>1.0615964389999999</v>
      </c>
      <c r="U160" s="302">
        <v>2.9199825221039441E-4</v>
      </c>
      <c r="V160" s="17"/>
      <c r="W160" s="18"/>
      <c r="X160" s="19"/>
      <c r="Y160" s="20"/>
      <c r="Z160" s="20"/>
      <c r="AA160" s="21"/>
      <c r="AB160" s="22"/>
      <c r="AC160" s="2"/>
      <c r="AD160" s="72"/>
      <c r="AE160" s="72"/>
      <c r="AF160" s="72"/>
      <c r="AG160" s="72"/>
      <c r="AH160" s="27"/>
      <c r="AI160" s="27"/>
      <c r="AN160" s="58"/>
      <c r="AO160" s="58"/>
      <c r="AP160" s="58"/>
    </row>
    <row r="161" spans="1:42">
      <c r="A161" s="288">
        <v>153</v>
      </c>
      <c r="B161" s="288" t="s">
        <v>671</v>
      </c>
      <c r="C161" s="289" t="s">
        <v>656</v>
      </c>
      <c r="D161" s="289" t="s">
        <v>656</v>
      </c>
      <c r="E161" s="288"/>
      <c r="F161" s="289"/>
      <c r="G161" s="288"/>
      <c r="H161" s="288"/>
      <c r="I161" s="304"/>
      <c r="J161" s="305"/>
      <c r="K161" s="305"/>
      <c r="L161" s="306"/>
      <c r="M161" s="305"/>
      <c r="N161" s="305"/>
      <c r="O161" s="307"/>
      <c r="P161" s="289" t="s">
        <v>672</v>
      </c>
      <c r="Q161" s="288" t="s">
        <v>671</v>
      </c>
      <c r="R161" s="302">
        <v>2.2891224901901003E-2</v>
      </c>
      <c r="S161" s="302">
        <v>8.5597669706598545E-2</v>
      </c>
      <c r="T161" s="302">
        <v>1.9475217391304347</v>
      </c>
      <c r="U161" s="302">
        <v>1.7512386155112008E-3</v>
      </c>
      <c r="V161" s="17"/>
      <c r="W161" s="18"/>
      <c r="X161" s="19"/>
      <c r="Y161" s="20"/>
      <c r="Z161" s="20"/>
      <c r="AA161" s="21"/>
      <c r="AB161" s="22"/>
      <c r="AC161" s="2"/>
      <c r="AD161" s="72"/>
      <c r="AE161" s="72"/>
      <c r="AF161" s="72"/>
      <c r="AG161" s="72"/>
      <c r="AH161" s="27"/>
      <c r="AI161" s="27"/>
      <c r="AN161" s="58"/>
      <c r="AO161" s="58"/>
      <c r="AP161" s="58"/>
    </row>
    <row r="162" spans="1:42">
      <c r="A162" s="288">
        <v>154</v>
      </c>
      <c r="B162" s="288" t="s">
        <v>673</v>
      </c>
      <c r="C162" s="289" t="s">
        <v>656</v>
      </c>
      <c r="D162" s="289" t="s">
        <v>656</v>
      </c>
      <c r="E162" s="288" t="s">
        <v>673</v>
      </c>
      <c r="F162" s="288" t="s">
        <v>673</v>
      </c>
      <c r="G162" s="288" t="s">
        <v>674</v>
      </c>
      <c r="H162" s="288"/>
      <c r="I162" s="304">
        <v>3.8427539589960401E-3</v>
      </c>
      <c r="J162" s="305">
        <v>1.5537788094869101E-2</v>
      </c>
      <c r="K162" s="305">
        <v>2.14E-4</v>
      </c>
      <c r="L162" s="306">
        <v>518</v>
      </c>
      <c r="M162" s="305">
        <f t="shared" ref="M162:M166" si="46">L162/1000</f>
        <v>0.51800000000000002</v>
      </c>
      <c r="N162" s="305">
        <f>L162/1000</f>
        <v>0.51800000000000002</v>
      </c>
      <c r="O162" s="307">
        <v>5.7320234924778215E-4</v>
      </c>
      <c r="P162" s="288" t="s">
        <v>675</v>
      </c>
      <c r="Q162" s="288" t="s">
        <v>673</v>
      </c>
      <c r="R162" s="302">
        <v>3.8427539589960401E-3</v>
      </c>
      <c r="S162" s="302">
        <v>1.5537788094869101E-2</v>
      </c>
      <c r="T162" s="302">
        <v>0.51800000000000002</v>
      </c>
      <c r="U162" s="302">
        <v>5.7320234924778215E-4</v>
      </c>
      <c r="V162" s="17"/>
      <c r="W162" s="18"/>
      <c r="X162" s="19"/>
      <c r="Y162" s="20"/>
      <c r="Z162" s="20"/>
      <c r="AA162" s="21"/>
      <c r="AB162" s="22"/>
      <c r="AC162" s="2"/>
      <c r="AD162" s="72"/>
      <c r="AE162" s="72"/>
      <c r="AF162" s="72"/>
      <c r="AG162" s="72"/>
      <c r="AH162" s="27"/>
      <c r="AI162" s="27"/>
      <c r="AN162" s="58"/>
      <c r="AO162" s="58"/>
      <c r="AP162" s="58"/>
    </row>
    <row r="163" spans="1:42">
      <c r="A163" s="290">
        <v>155</v>
      </c>
      <c r="B163" s="288" t="s">
        <v>5</v>
      </c>
      <c r="C163" s="288" t="s">
        <v>656</v>
      </c>
      <c r="D163" s="288" t="s">
        <v>656</v>
      </c>
      <c r="E163" s="288" t="s">
        <v>657</v>
      </c>
      <c r="F163" s="288" t="s">
        <v>5</v>
      </c>
      <c r="G163" s="288" t="s">
        <v>676</v>
      </c>
      <c r="H163" s="288"/>
      <c r="I163" s="304">
        <v>3.3715510380578286E-3</v>
      </c>
      <c r="J163" s="305">
        <v>1.5399705979103718E-2</v>
      </c>
      <c r="K163" s="305">
        <v>1.8383838383838382E-4</v>
      </c>
      <c r="L163" s="306">
        <v>135</v>
      </c>
      <c r="M163" s="305">
        <f t="shared" si="46"/>
        <v>0.13500000000000001</v>
      </c>
      <c r="N163" s="305">
        <v>0.13</v>
      </c>
      <c r="O163" s="307">
        <v>8.3632217061965959E-4</v>
      </c>
      <c r="P163" s="288" t="s">
        <v>677</v>
      </c>
      <c r="Q163" s="288" t="s">
        <v>5</v>
      </c>
      <c r="R163" s="302">
        <v>3.3715510380578286E-3</v>
      </c>
      <c r="S163" s="302">
        <v>1.5399705979103718E-2</v>
      </c>
      <c r="T163" s="302">
        <v>0.13</v>
      </c>
      <c r="U163" s="302">
        <v>8.3632217061965959E-4</v>
      </c>
      <c r="V163" s="17"/>
      <c r="W163" s="18"/>
      <c r="X163" s="19"/>
      <c r="Y163" s="20"/>
      <c r="Z163" s="20"/>
      <c r="AA163" s="21"/>
      <c r="AB163" s="22"/>
      <c r="AH163" s="27"/>
      <c r="AI163" s="27"/>
      <c r="AN163" s="58"/>
      <c r="AO163" s="58"/>
      <c r="AP163" s="58"/>
    </row>
    <row r="164" spans="1:42">
      <c r="A164" s="288">
        <v>156</v>
      </c>
      <c r="B164" s="288" t="s">
        <v>678</v>
      </c>
      <c r="C164" s="288" t="s">
        <v>656</v>
      </c>
      <c r="D164" s="288" t="s">
        <v>656</v>
      </c>
      <c r="E164" s="288" t="s">
        <v>7</v>
      </c>
      <c r="F164" s="288" t="s">
        <v>679</v>
      </c>
      <c r="G164" s="289" t="s">
        <v>680</v>
      </c>
      <c r="H164" s="289"/>
      <c r="I164" s="304">
        <v>4.7062756261925113E-3</v>
      </c>
      <c r="J164" s="305">
        <v>3.8210906557435767E-2</v>
      </c>
      <c r="K164" s="305">
        <v>7.6086956521739124E-5</v>
      </c>
      <c r="L164" s="306">
        <v>500</v>
      </c>
      <c r="M164" s="305">
        <f t="shared" si="46"/>
        <v>0.5</v>
      </c>
      <c r="N164" s="305">
        <v>0.54347826089999995</v>
      </c>
      <c r="O164" s="307">
        <v>5.9908272287602653E-4</v>
      </c>
      <c r="P164" s="288" t="s">
        <v>681</v>
      </c>
      <c r="Q164" s="288" t="s">
        <v>678</v>
      </c>
      <c r="R164" s="315">
        <v>4.7062756261925113E-3</v>
      </c>
      <c r="S164" s="315">
        <v>3.8210906557435767E-2</v>
      </c>
      <c r="T164" s="315">
        <v>0.54347826089999995</v>
      </c>
      <c r="U164" s="315">
        <v>5.9908272287602653E-4</v>
      </c>
      <c r="V164" s="73"/>
      <c r="W164" s="18"/>
      <c r="X164" s="19"/>
      <c r="Y164" s="20"/>
      <c r="Z164" s="20"/>
      <c r="AA164" s="21"/>
      <c r="AB164" s="22"/>
      <c r="AH164" s="27"/>
      <c r="AI164" s="27"/>
      <c r="AN164" s="58"/>
      <c r="AO164" s="58"/>
      <c r="AP164" s="58"/>
    </row>
    <row r="165" spans="1:42">
      <c r="A165" s="288">
        <v>157</v>
      </c>
      <c r="B165" s="288" t="s">
        <v>682</v>
      </c>
      <c r="C165" s="288" t="s">
        <v>656</v>
      </c>
      <c r="D165" s="288" t="s">
        <v>656</v>
      </c>
      <c r="E165" s="288" t="s">
        <v>7</v>
      </c>
      <c r="F165" s="288" t="s">
        <v>683</v>
      </c>
      <c r="G165" s="289" t="s">
        <v>684</v>
      </c>
      <c r="H165" s="289"/>
      <c r="I165" s="304">
        <v>4.7062756261925113E-3</v>
      </c>
      <c r="J165" s="305">
        <v>3.8210906557435767E-2</v>
      </c>
      <c r="K165" s="305">
        <v>8.2999999999999998E-5</v>
      </c>
      <c r="L165" s="306">
        <v>500</v>
      </c>
      <c r="M165" s="305">
        <f t="shared" si="46"/>
        <v>0.5</v>
      </c>
      <c r="N165" s="305">
        <v>0.54347826089999995</v>
      </c>
      <c r="O165" s="307">
        <v>5.9908272287602653E-4</v>
      </c>
      <c r="P165" s="288" t="s">
        <v>685</v>
      </c>
      <c r="Q165" s="288" t="s">
        <v>682</v>
      </c>
      <c r="R165" s="302">
        <v>4.7062756261925113E-3</v>
      </c>
      <c r="S165" s="302">
        <v>3.8210906557435767E-2</v>
      </c>
      <c r="T165" s="302">
        <v>0.54347826089999995</v>
      </c>
      <c r="U165" s="302">
        <v>5.9908272287602653E-4</v>
      </c>
      <c r="V165" s="17"/>
      <c r="W165" s="18"/>
      <c r="X165" s="19"/>
      <c r="Y165" s="20"/>
      <c r="Z165" s="20"/>
      <c r="AA165" s="21"/>
      <c r="AB165" s="22"/>
      <c r="AH165" s="27"/>
      <c r="AI165" s="27"/>
      <c r="AN165" s="58"/>
      <c r="AO165" s="58"/>
      <c r="AP165" s="58"/>
    </row>
    <row r="166" spans="1:42">
      <c r="A166" s="288">
        <v>158</v>
      </c>
      <c r="B166" s="288" t="s">
        <v>686</v>
      </c>
      <c r="C166" s="288" t="s">
        <v>656</v>
      </c>
      <c r="D166" s="288" t="s">
        <v>656</v>
      </c>
      <c r="E166" s="288" t="s">
        <v>7</v>
      </c>
      <c r="F166" s="288" t="s">
        <v>683</v>
      </c>
      <c r="G166" s="289" t="s">
        <v>687</v>
      </c>
      <c r="H166" s="289"/>
      <c r="I166" s="304">
        <v>5.0661296264537621E-3</v>
      </c>
      <c r="J166" s="305">
        <v>4.1132611249310447E-2</v>
      </c>
      <c r="K166" s="305">
        <v>8.190476190476189E-5</v>
      </c>
      <c r="L166" s="306">
        <v>500</v>
      </c>
      <c r="M166" s="305">
        <f t="shared" si="46"/>
        <v>0.5</v>
      </c>
      <c r="N166" s="305">
        <v>0.58503401359999996</v>
      </c>
      <c r="O166" s="307">
        <v>6.4489013651634311E-4</v>
      </c>
      <c r="P166" s="288" t="s">
        <v>688</v>
      </c>
      <c r="Q166" s="288" t="s">
        <v>686</v>
      </c>
      <c r="R166" s="302">
        <v>5.0661296264537621E-3</v>
      </c>
      <c r="S166" s="302">
        <v>4.1132611249310447E-2</v>
      </c>
      <c r="T166" s="302">
        <v>0.58503401359999996</v>
      </c>
      <c r="U166" s="302">
        <v>6.4489013651634311E-4</v>
      </c>
      <c r="V166" s="17"/>
      <c r="W166" s="18"/>
      <c r="X166" s="19"/>
      <c r="Y166" s="20"/>
      <c r="Z166" s="20"/>
      <c r="AA166" s="21"/>
      <c r="AB166" s="22"/>
      <c r="AH166" s="27"/>
      <c r="AI166" s="27"/>
      <c r="AN166" s="58"/>
      <c r="AO166" s="58"/>
      <c r="AP166" s="58"/>
    </row>
    <row r="167" spans="1:42">
      <c r="A167" s="290">
        <v>159</v>
      </c>
      <c r="B167" s="288" t="s">
        <v>9</v>
      </c>
      <c r="C167" s="288" t="s">
        <v>656</v>
      </c>
      <c r="D167" s="288" t="s">
        <v>656</v>
      </c>
      <c r="E167" s="288" t="s">
        <v>7</v>
      </c>
      <c r="F167" s="288" t="s">
        <v>9</v>
      </c>
      <c r="G167" s="289" t="s">
        <v>680</v>
      </c>
      <c r="H167" s="288"/>
      <c r="I167" s="304">
        <v>4.3502453187736897E-3</v>
      </c>
      <c r="J167" s="305">
        <v>1.10424718876256E-2</v>
      </c>
      <c r="K167" s="305">
        <v>8.2999999999999998E-5</v>
      </c>
      <c r="L167" s="306" t="s">
        <v>177</v>
      </c>
      <c r="M167" s="306" t="s">
        <v>177</v>
      </c>
      <c r="N167" s="305">
        <v>0.59285714290000002</v>
      </c>
      <c r="O167" s="307">
        <v>7.0547981445880884E-4</v>
      </c>
      <c r="P167" s="288" t="s">
        <v>689</v>
      </c>
      <c r="Q167" s="288" t="s">
        <v>9</v>
      </c>
      <c r="R167" s="315">
        <v>4.3502453187736897E-3</v>
      </c>
      <c r="S167" s="315">
        <v>1.10424718876256E-2</v>
      </c>
      <c r="T167" s="315">
        <v>0.59285714290000002</v>
      </c>
      <c r="U167" s="315">
        <v>7.0547981445880884E-4</v>
      </c>
      <c r="V167" s="73"/>
      <c r="W167" s="37" t="s">
        <v>217</v>
      </c>
      <c r="X167" s="19">
        <f t="shared" ref="X167:AA167" si="47">AVERAGE(R156:R167)</f>
        <v>5.4444049857663252E-3</v>
      </c>
      <c r="Y167" s="20">
        <f t="shared" si="47"/>
        <v>3.6540475505848449E-2</v>
      </c>
      <c r="Z167" s="20">
        <f t="shared" si="47"/>
        <v>1.0084881959108698</v>
      </c>
      <c r="AA167" s="21">
        <f t="shared" si="47"/>
        <v>6.2807097374408514E-4</v>
      </c>
      <c r="AB167" s="22"/>
      <c r="AH167" s="27"/>
      <c r="AI167" s="27"/>
      <c r="AN167" s="58"/>
      <c r="AO167" s="58"/>
      <c r="AP167" s="58"/>
    </row>
    <row r="168" spans="1:42" ht="16">
      <c r="A168" s="290">
        <v>161</v>
      </c>
      <c r="B168" s="290" t="s">
        <v>690</v>
      </c>
      <c r="C168" s="288" t="s">
        <v>691</v>
      </c>
      <c r="D168" s="288" t="s">
        <v>691</v>
      </c>
      <c r="E168" s="288"/>
      <c r="F168" s="288"/>
      <c r="G168" s="288" t="s">
        <v>692</v>
      </c>
      <c r="H168" s="288"/>
      <c r="I168" s="304">
        <v>5.5052259063149899E-3</v>
      </c>
      <c r="J168" s="305">
        <v>8.2856018088169489E-2</v>
      </c>
      <c r="K168" s="305">
        <v>3.8159999999999999E-3</v>
      </c>
      <c r="L168" s="306">
        <v>38742</v>
      </c>
      <c r="M168" s="305">
        <f t="shared" ref="M168:M170" si="48">L168/1000</f>
        <v>38.741999999999997</v>
      </c>
      <c r="N168" s="305">
        <f t="shared" ref="N168:N170" si="49">L168/1000</f>
        <v>38.741999999999997</v>
      </c>
      <c r="O168" s="307">
        <v>1.8959770013580487E-3</v>
      </c>
      <c r="P168" s="288" t="s">
        <v>693</v>
      </c>
      <c r="Q168" s="290" t="s">
        <v>690</v>
      </c>
      <c r="R168" s="302">
        <v>5.5052259063149899E-3</v>
      </c>
      <c r="S168" s="302">
        <v>8.2856018088169489E-2</v>
      </c>
      <c r="T168" s="302">
        <v>38.741999999999997</v>
      </c>
      <c r="U168" s="302">
        <v>1.8959770013580487E-3</v>
      </c>
      <c r="V168" s="17"/>
      <c r="W168" s="18"/>
      <c r="X168" s="19"/>
      <c r="Y168" s="20"/>
      <c r="Z168" s="20"/>
      <c r="AA168" s="21"/>
      <c r="AB168" s="22"/>
      <c r="AH168" s="27"/>
      <c r="AI168" s="27"/>
      <c r="AN168" s="58"/>
      <c r="AO168" s="58"/>
      <c r="AP168" s="58"/>
    </row>
    <row r="169" spans="1:42" ht="16">
      <c r="A169" s="288">
        <v>162</v>
      </c>
      <c r="B169" s="290" t="s">
        <v>694</v>
      </c>
      <c r="C169" s="288" t="s">
        <v>691</v>
      </c>
      <c r="D169" s="288" t="s">
        <v>691</v>
      </c>
      <c r="E169" s="288"/>
      <c r="F169" s="288"/>
      <c r="G169" s="288" t="s">
        <v>200</v>
      </c>
      <c r="H169" s="288"/>
      <c r="I169" s="304">
        <v>5.5052259063149899E-3</v>
      </c>
      <c r="J169" s="305">
        <v>8.2856018088169489E-2</v>
      </c>
      <c r="K169" s="305">
        <v>3.8159999999999999E-3</v>
      </c>
      <c r="L169" s="306">
        <v>38742</v>
      </c>
      <c r="M169" s="305">
        <f t="shared" si="48"/>
        <v>38.741999999999997</v>
      </c>
      <c r="N169" s="305">
        <f t="shared" si="49"/>
        <v>38.741999999999997</v>
      </c>
      <c r="O169" s="307">
        <v>1.8959770013580487E-3</v>
      </c>
      <c r="P169" s="288" t="s">
        <v>695</v>
      </c>
      <c r="Q169" s="290" t="s">
        <v>694</v>
      </c>
      <c r="R169" s="302">
        <v>5.5052259063149899E-3</v>
      </c>
      <c r="S169" s="302">
        <v>8.2856018088169489E-2</v>
      </c>
      <c r="T169" s="302">
        <v>38.741999999999997</v>
      </c>
      <c r="U169" s="302">
        <v>1.8959770013580487E-3</v>
      </c>
      <c r="V169" s="17"/>
      <c r="W169" s="18"/>
      <c r="X169" s="19"/>
      <c r="Y169" s="20"/>
      <c r="Z169" s="20"/>
      <c r="AA169" s="21"/>
      <c r="AB169" s="22"/>
      <c r="AH169" s="27"/>
      <c r="AI169" s="27"/>
      <c r="AN169" s="58"/>
      <c r="AO169" s="58"/>
      <c r="AP169" s="58"/>
    </row>
    <row r="170" spans="1:42" ht="16">
      <c r="A170" s="288">
        <v>163</v>
      </c>
      <c r="B170" s="290" t="s">
        <v>696</v>
      </c>
      <c r="C170" s="288" t="s">
        <v>691</v>
      </c>
      <c r="D170" s="288" t="s">
        <v>691</v>
      </c>
      <c r="E170" s="288"/>
      <c r="F170" s="288"/>
      <c r="G170" s="288" t="s">
        <v>200</v>
      </c>
      <c r="H170" s="288"/>
      <c r="I170" s="304">
        <v>1.5308726E-2</v>
      </c>
      <c r="J170" s="305">
        <v>0.61255519650000001</v>
      </c>
      <c r="K170" s="305">
        <v>9.2100000000000005E-4</v>
      </c>
      <c r="L170" s="306">
        <v>60389</v>
      </c>
      <c r="M170" s="305">
        <f t="shared" si="48"/>
        <v>60.389000000000003</v>
      </c>
      <c r="N170" s="305">
        <f t="shared" si="49"/>
        <v>60.389000000000003</v>
      </c>
      <c r="O170" s="307">
        <v>4.999E-3</v>
      </c>
      <c r="P170" s="288" t="s">
        <v>697</v>
      </c>
      <c r="Q170" s="290" t="s">
        <v>696</v>
      </c>
      <c r="R170" s="302">
        <v>1.5308726E-2</v>
      </c>
      <c r="S170" s="302">
        <v>0.61255519650000001</v>
      </c>
      <c r="T170" s="302">
        <v>60.389000000000003</v>
      </c>
      <c r="U170" s="302">
        <v>4.999E-3</v>
      </c>
      <c r="V170" s="48"/>
      <c r="W170" s="18"/>
      <c r="X170" s="19"/>
      <c r="Y170" s="20"/>
      <c r="Z170" s="20"/>
      <c r="AA170" s="21"/>
      <c r="AB170" s="22"/>
      <c r="AH170" s="27"/>
      <c r="AI170" s="27"/>
      <c r="AN170" s="58"/>
      <c r="AO170" s="58"/>
      <c r="AP170" s="58"/>
    </row>
    <row r="171" spans="1:42" ht="16">
      <c r="A171" s="288">
        <v>164</v>
      </c>
      <c r="B171" s="290" t="s">
        <v>698</v>
      </c>
      <c r="C171" s="288" t="s">
        <v>691</v>
      </c>
      <c r="D171" s="288" t="s">
        <v>691</v>
      </c>
      <c r="E171" s="288"/>
      <c r="F171" s="288"/>
      <c r="G171" s="288"/>
      <c r="H171" s="288"/>
      <c r="I171" s="304"/>
      <c r="J171" s="305"/>
      <c r="K171" s="305"/>
      <c r="L171" s="306"/>
      <c r="M171" s="305"/>
      <c r="N171" s="305"/>
      <c r="O171" s="307"/>
      <c r="P171" s="288" t="s">
        <v>699</v>
      </c>
      <c r="Q171" s="290" t="s">
        <v>698</v>
      </c>
      <c r="R171" s="302">
        <v>4.3843306330000002E-3</v>
      </c>
      <c r="S171" s="302">
        <v>6.6970928639999996E-2</v>
      </c>
      <c r="T171" s="302">
        <v>12.17</v>
      </c>
      <c r="U171" s="302">
        <v>9.8999999999999999E-4</v>
      </c>
      <c r="V171" s="48"/>
      <c r="W171" s="18"/>
      <c r="X171" s="19"/>
      <c r="Y171" s="20"/>
      <c r="Z171" s="20"/>
      <c r="AA171" s="21"/>
      <c r="AB171" s="22"/>
      <c r="AH171" s="27"/>
      <c r="AI171" s="27"/>
      <c r="AN171" s="58"/>
      <c r="AO171" s="58"/>
      <c r="AP171" s="58"/>
    </row>
    <row r="172" spans="1:42">
      <c r="A172" s="290">
        <v>165</v>
      </c>
      <c r="B172" s="289" t="s">
        <v>700</v>
      </c>
      <c r="C172" s="288" t="s">
        <v>691</v>
      </c>
      <c r="D172" s="288" t="s">
        <v>691</v>
      </c>
      <c r="E172" s="288"/>
      <c r="F172" s="288"/>
      <c r="G172" s="288" t="s">
        <v>453</v>
      </c>
      <c r="H172" s="288"/>
      <c r="I172" s="304">
        <f>0.003937783028</f>
        <v>3.9377830280000001E-3</v>
      </c>
      <c r="J172" s="305">
        <v>0.1260090569</v>
      </c>
      <c r="K172" s="305">
        <v>4.8543689319999998E-5</v>
      </c>
      <c r="L172" s="306">
        <v>30068</v>
      </c>
      <c r="M172" s="305">
        <f t="shared" ref="M172:M196" si="50">L172/1000</f>
        <v>30.068000000000001</v>
      </c>
      <c r="N172" s="305">
        <f t="shared" ref="N172:N175" si="51">L172/1000</f>
        <v>30.068000000000001</v>
      </c>
      <c r="O172" s="307">
        <f>0.73/453.592</f>
        <v>1.6093758267341576E-3</v>
      </c>
      <c r="P172" s="288" t="s">
        <v>701</v>
      </c>
      <c r="Q172" s="289" t="s">
        <v>700</v>
      </c>
      <c r="R172" s="302">
        <v>3.9377830280000001E-3</v>
      </c>
      <c r="S172" s="302">
        <v>0.1260090569</v>
      </c>
      <c r="T172" s="302">
        <v>30.068000000000001</v>
      </c>
      <c r="U172" s="302">
        <v>1.6093758267341576E-3</v>
      </c>
      <c r="V172" s="48"/>
      <c r="W172" s="18"/>
      <c r="X172" s="19"/>
      <c r="Y172" s="20"/>
      <c r="Z172" s="20"/>
      <c r="AA172" s="21"/>
      <c r="AB172" s="22"/>
      <c r="AH172" s="27"/>
      <c r="AI172" s="27"/>
      <c r="AN172" s="58"/>
      <c r="AO172" s="58"/>
      <c r="AP172" s="58"/>
    </row>
    <row r="173" spans="1:42">
      <c r="A173" s="288">
        <v>166</v>
      </c>
      <c r="B173" s="289" t="s">
        <v>702</v>
      </c>
      <c r="C173" s="288" t="s">
        <v>691</v>
      </c>
      <c r="D173" s="288" t="s">
        <v>691</v>
      </c>
      <c r="E173" s="288"/>
      <c r="F173" s="288"/>
      <c r="G173" s="288" t="s">
        <v>200</v>
      </c>
      <c r="H173" s="288"/>
      <c r="I173" s="304">
        <v>7.2492237880000003E-3</v>
      </c>
      <c r="J173" s="305">
        <v>9.5262392249999994E-2</v>
      </c>
      <c r="K173" s="305">
        <v>1.4343396226415095E-2</v>
      </c>
      <c r="L173" s="306">
        <v>64363</v>
      </c>
      <c r="M173" s="305">
        <f t="shared" si="50"/>
        <v>64.363</v>
      </c>
      <c r="N173" s="305">
        <f t="shared" si="51"/>
        <v>64.363</v>
      </c>
      <c r="O173" s="307">
        <v>2.1214310458372199E-3</v>
      </c>
      <c r="P173" s="288" t="s">
        <v>703</v>
      </c>
      <c r="Q173" s="289" t="s">
        <v>702</v>
      </c>
      <c r="R173" s="302">
        <v>7.2492237880000003E-3</v>
      </c>
      <c r="S173" s="302">
        <v>9.5262392249999994E-2</v>
      </c>
      <c r="T173" s="302">
        <v>64.363</v>
      </c>
      <c r="U173" s="302">
        <v>2.1214310458372199E-3</v>
      </c>
      <c r="V173" s="17"/>
      <c r="W173" s="18"/>
      <c r="X173" s="19"/>
      <c r="Y173" s="20"/>
      <c r="Z173" s="20"/>
      <c r="AA173" s="21"/>
      <c r="AB173" s="22"/>
      <c r="AH173" s="27"/>
      <c r="AI173" s="27"/>
      <c r="AN173" s="58"/>
      <c r="AO173" s="58"/>
      <c r="AP173" s="58"/>
    </row>
    <row r="174" spans="1:42">
      <c r="A174" s="288">
        <v>167</v>
      </c>
      <c r="B174" s="288" t="s">
        <v>704</v>
      </c>
      <c r="C174" s="288" t="s">
        <v>691</v>
      </c>
      <c r="D174" s="288" t="s">
        <v>691</v>
      </c>
      <c r="E174" s="288"/>
      <c r="F174" s="288"/>
      <c r="G174" s="288" t="s">
        <v>200</v>
      </c>
      <c r="H174" s="289"/>
      <c r="I174" s="304">
        <v>3.2210986719999998E-3</v>
      </c>
      <c r="J174" s="305">
        <v>3.9434345900000001E-2</v>
      </c>
      <c r="K174" s="305">
        <v>2.4510000000000001E-3</v>
      </c>
      <c r="L174" s="306">
        <v>65534</v>
      </c>
      <c r="M174" s="305">
        <f t="shared" si="50"/>
        <v>65.534000000000006</v>
      </c>
      <c r="N174" s="305">
        <f t="shared" si="51"/>
        <v>65.534000000000006</v>
      </c>
      <c r="O174" s="307">
        <v>9.0389601229999995E-4</v>
      </c>
      <c r="P174" s="288" t="s">
        <v>705</v>
      </c>
      <c r="Q174" s="288" t="s">
        <v>704</v>
      </c>
      <c r="R174" s="302">
        <v>3.2210986719999998E-3</v>
      </c>
      <c r="S174" s="302">
        <v>3.9434345900000001E-2</v>
      </c>
      <c r="T174" s="302">
        <v>65.534000000000006</v>
      </c>
      <c r="U174" s="302">
        <v>9.0389601229999995E-4</v>
      </c>
      <c r="V174" s="17"/>
      <c r="W174" s="67" t="s">
        <v>220</v>
      </c>
      <c r="X174" s="19">
        <f t="shared" ref="X174:AA174" si="52">AVERAGE(R168:R174)</f>
        <v>6.4445162762328543E-3</v>
      </c>
      <c r="Y174" s="20">
        <f t="shared" si="52"/>
        <v>0.15799199376661985</v>
      </c>
      <c r="Z174" s="20">
        <f t="shared" si="52"/>
        <v>44.286857142857137</v>
      </c>
      <c r="AA174" s="21">
        <f t="shared" si="52"/>
        <v>2.0593795553696392E-3</v>
      </c>
      <c r="AB174" s="22"/>
      <c r="AH174" s="27"/>
      <c r="AI174" s="27"/>
      <c r="AN174" s="58"/>
      <c r="AO174" s="58"/>
      <c r="AP174" s="58"/>
    </row>
    <row r="175" spans="1:42">
      <c r="A175" s="288">
        <v>168</v>
      </c>
      <c r="B175" s="288" t="s">
        <v>706</v>
      </c>
      <c r="C175" s="288" t="s">
        <v>707</v>
      </c>
      <c r="D175" s="288" t="s">
        <v>707</v>
      </c>
      <c r="E175" s="288"/>
      <c r="F175" s="288"/>
      <c r="G175" s="288" t="s">
        <v>200</v>
      </c>
      <c r="H175" s="288"/>
      <c r="I175" s="304">
        <v>1.4285714285714287E-2</v>
      </c>
      <c r="J175" s="305">
        <v>6.2E-2</v>
      </c>
      <c r="K175" s="305">
        <v>3.0000000000000001E-6</v>
      </c>
      <c r="L175" s="306">
        <v>5019</v>
      </c>
      <c r="M175" s="305">
        <f t="shared" si="50"/>
        <v>5.0190000000000001</v>
      </c>
      <c r="N175" s="305">
        <f t="shared" si="51"/>
        <v>5.0190000000000001</v>
      </c>
      <c r="O175" s="307">
        <v>8.9999999999999998E-4</v>
      </c>
      <c r="P175" s="288" t="s">
        <v>708</v>
      </c>
      <c r="Q175" s="288" t="s">
        <v>706</v>
      </c>
      <c r="R175" s="302">
        <v>1.4285714285714287E-2</v>
      </c>
      <c r="S175" s="302">
        <v>6.2E-2</v>
      </c>
      <c r="T175" s="302">
        <v>5.0190000000000001</v>
      </c>
      <c r="U175" s="302">
        <v>8.9999999999999998E-4</v>
      </c>
      <c r="V175" s="48"/>
      <c r="W175" s="18"/>
      <c r="X175" s="19"/>
      <c r="Y175" s="20"/>
      <c r="Z175" s="20"/>
      <c r="AA175" s="21"/>
      <c r="AB175" s="22"/>
      <c r="AH175" s="27"/>
      <c r="AI175" s="27"/>
      <c r="AN175" s="58"/>
      <c r="AO175" s="58"/>
      <c r="AP175" s="58"/>
    </row>
    <row r="176" spans="1:42">
      <c r="A176" s="290">
        <v>169</v>
      </c>
      <c r="B176" s="288" t="s">
        <v>709</v>
      </c>
      <c r="C176" s="289" t="s">
        <v>707</v>
      </c>
      <c r="D176" s="289" t="s">
        <v>707</v>
      </c>
      <c r="E176" s="288" t="s">
        <v>252</v>
      </c>
      <c r="F176" s="289" t="s">
        <v>710</v>
      </c>
      <c r="G176" s="288" t="s">
        <v>711</v>
      </c>
      <c r="H176" s="288"/>
      <c r="I176" s="304">
        <v>5.2419900086202897E-2</v>
      </c>
      <c r="J176" s="305">
        <v>2.8162483479607547</v>
      </c>
      <c r="K176" s="305">
        <v>1.6256511627906977E-3</v>
      </c>
      <c r="L176" s="306">
        <v>253</v>
      </c>
      <c r="M176" s="305">
        <f t="shared" si="50"/>
        <v>0.253</v>
      </c>
      <c r="N176" s="305">
        <v>5.0776511629999996</v>
      </c>
      <c r="O176" s="307">
        <v>1.194650084062842E-2</v>
      </c>
      <c r="P176" s="289" t="s">
        <v>712</v>
      </c>
      <c r="Q176" s="288" t="s">
        <v>709</v>
      </c>
      <c r="R176" s="302">
        <v>5.2419900086202897E-2</v>
      </c>
      <c r="S176" s="302">
        <v>2.8162483479607547</v>
      </c>
      <c r="T176" s="302">
        <v>5.0776511629999996</v>
      </c>
      <c r="U176" s="302">
        <v>1.194650084062842E-2</v>
      </c>
      <c r="V176" s="17"/>
      <c r="W176" s="18"/>
      <c r="X176" s="19"/>
      <c r="Y176" s="20"/>
      <c r="Z176" s="20"/>
      <c r="AA176" s="21"/>
      <c r="AB176" s="22"/>
      <c r="AH176" s="27"/>
      <c r="AI176" s="27"/>
      <c r="AN176" s="58"/>
      <c r="AO176" s="58"/>
      <c r="AP176" s="58"/>
    </row>
    <row r="177" spans="1:42">
      <c r="A177" s="288">
        <v>170</v>
      </c>
      <c r="B177" s="288" t="s">
        <v>713</v>
      </c>
      <c r="C177" s="288" t="s">
        <v>707</v>
      </c>
      <c r="D177" s="288" t="s">
        <v>707</v>
      </c>
      <c r="E177" s="288"/>
      <c r="F177" s="288"/>
      <c r="G177" s="288" t="s">
        <v>200</v>
      </c>
      <c r="H177" s="288"/>
      <c r="I177" s="304">
        <v>1.0652903141570055E-3</v>
      </c>
      <c r="J177" s="305">
        <v>1.7273631840796021E-2</v>
      </c>
      <c r="K177" s="305">
        <v>1.3582399999999999E-4</v>
      </c>
      <c r="L177" s="306">
        <v>3001</v>
      </c>
      <c r="M177" s="305">
        <f t="shared" si="50"/>
        <v>3.0009999999999999</v>
      </c>
      <c r="N177" s="305">
        <f>L177/1000</f>
        <v>3.0009999999999999</v>
      </c>
      <c r="O177" s="307">
        <v>2.14E-3</v>
      </c>
      <c r="P177" s="288" t="s">
        <v>714</v>
      </c>
      <c r="Q177" s="288" t="s">
        <v>713</v>
      </c>
      <c r="R177" s="302">
        <v>1.0652903141570055E-3</v>
      </c>
      <c r="S177" s="302">
        <v>1.7273631840796021E-2</v>
      </c>
      <c r="T177" s="302">
        <v>3.0009999999999999</v>
      </c>
      <c r="U177" s="302">
        <v>2.14E-3</v>
      </c>
      <c r="V177" s="17"/>
      <c r="W177" s="18"/>
      <c r="X177" s="19"/>
      <c r="Y177" s="20"/>
      <c r="Z177" s="20"/>
      <c r="AA177" s="21"/>
      <c r="AB177" s="22"/>
      <c r="AH177" s="27"/>
      <c r="AI177" s="27"/>
      <c r="AN177" s="58"/>
      <c r="AO177" s="58"/>
      <c r="AP177" s="58"/>
    </row>
    <row r="178" spans="1:42">
      <c r="A178" s="290">
        <v>171</v>
      </c>
      <c r="B178" s="288" t="s">
        <v>4</v>
      </c>
      <c r="C178" s="289" t="s">
        <v>707</v>
      </c>
      <c r="D178" s="289" t="s">
        <v>707</v>
      </c>
      <c r="E178" s="288" t="s">
        <v>3</v>
      </c>
      <c r="F178" s="289" t="s">
        <v>715</v>
      </c>
      <c r="G178" s="303" t="s">
        <v>716</v>
      </c>
      <c r="H178" s="303"/>
      <c r="I178" s="304">
        <v>1.0908510307875098E-2</v>
      </c>
      <c r="J178" s="305">
        <v>0.10414261699680899</v>
      </c>
      <c r="K178" s="305">
        <v>2.2359865447154469E-3</v>
      </c>
      <c r="L178" s="306">
        <v>8070</v>
      </c>
      <c r="M178" s="305">
        <f t="shared" si="50"/>
        <v>8.07</v>
      </c>
      <c r="N178" s="305">
        <v>38.150406500000003</v>
      </c>
      <c r="O178" s="307">
        <v>1.4E-3</v>
      </c>
      <c r="P178" s="289" t="s">
        <v>717</v>
      </c>
      <c r="Q178" s="288" t="s">
        <v>4</v>
      </c>
      <c r="R178" s="302">
        <v>1.0908510307875098E-2</v>
      </c>
      <c r="S178" s="302">
        <v>0.10414261699680899</v>
      </c>
      <c r="T178" s="302">
        <v>38.150406500000003</v>
      </c>
      <c r="U178" s="302">
        <v>1.4E-3</v>
      </c>
      <c r="V178" s="48"/>
      <c r="W178" s="18"/>
      <c r="X178" s="19"/>
      <c r="Y178" s="20"/>
      <c r="Z178" s="20"/>
      <c r="AA178" s="21"/>
      <c r="AB178" s="22"/>
      <c r="AH178" s="27"/>
      <c r="AI178" s="27"/>
      <c r="AN178" s="58"/>
      <c r="AO178" s="58"/>
      <c r="AP178" s="58"/>
    </row>
    <row r="179" spans="1:42">
      <c r="A179" s="288">
        <v>178</v>
      </c>
      <c r="B179" s="288" t="s">
        <v>718</v>
      </c>
      <c r="C179" s="288" t="s">
        <v>707</v>
      </c>
      <c r="D179" s="288" t="s">
        <v>707</v>
      </c>
      <c r="E179" s="288" t="s">
        <v>174</v>
      </c>
      <c r="F179" s="288" t="s">
        <v>174</v>
      </c>
      <c r="G179" s="288" t="s">
        <v>719</v>
      </c>
      <c r="H179" s="288"/>
      <c r="I179" s="304">
        <v>7.8041307047035744E-3</v>
      </c>
      <c r="J179" s="305">
        <v>3.1555215464803207E-2</v>
      </c>
      <c r="K179" s="305">
        <v>4.3460601137286752E-4</v>
      </c>
      <c r="L179" s="306">
        <v>518</v>
      </c>
      <c r="M179" s="305">
        <f t="shared" si="50"/>
        <v>0.51800000000000002</v>
      </c>
      <c r="N179" s="305">
        <v>1.051990252</v>
      </c>
      <c r="O179" s="307">
        <v>1.280508903681073E-3</v>
      </c>
      <c r="P179" s="288" t="s">
        <v>720</v>
      </c>
      <c r="Q179" s="288" t="s">
        <v>718</v>
      </c>
      <c r="R179" s="315">
        <v>7.8041307047035744E-3</v>
      </c>
      <c r="S179" s="315">
        <v>3.1555215464803207E-2</v>
      </c>
      <c r="T179" s="315">
        <v>1.051990252</v>
      </c>
      <c r="U179" s="315">
        <v>1.280508903681073E-3</v>
      </c>
      <c r="V179" s="73"/>
      <c r="W179" s="18"/>
      <c r="X179" s="19"/>
      <c r="Y179" s="20"/>
      <c r="Z179" s="20"/>
      <c r="AA179" s="21"/>
      <c r="AB179" s="22"/>
      <c r="AH179" s="27"/>
      <c r="AI179" s="27"/>
      <c r="AN179" s="58"/>
      <c r="AO179" s="58"/>
      <c r="AP179" s="58"/>
    </row>
    <row r="180" spans="1:42">
      <c r="A180" s="290">
        <v>179</v>
      </c>
      <c r="B180" s="288" t="s">
        <v>1</v>
      </c>
      <c r="C180" s="288" t="s">
        <v>707</v>
      </c>
      <c r="D180" s="288" t="s">
        <v>707</v>
      </c>
      <c r="E180" s="288" t="s">
        <v>721</v>
      </c>
      <c r="F180" s="288" t="s">
        <v>722</v>
      </c>
      <c r="G180" s="288" t="s">
        <v>200</v>
      </c>
      <c r="H180" s="288"/>
      <c r="I180" s="304">
        <v>2.1708241661196198E-2</v>
      </c>
      <c r="J180" s="305">
        <v>0.36572952458380198</v>
      </c>
      <c r="K180" s="305">
        <v>4.6350652173913045E-4</v>
      </c>
      <c r="L180" s="306">
        <v>87</v>
      </c>
      <c r="M180" s="305">
        <f t="shared" si="50"/>
        <v>8.6999999999999994E-2</v>
      </c>
      <c r="N180" s="305">
        <f>L180/1000</f>
        <v>8.6999999999999994E-2</v>
      </c>
      <c r="O180" s="307">
        <v>1.6975608035415088E-3</v>
      </c>
      <c r="P180" s="288" t="s">
        <v>723</v>
      </c>
      <c r="Q180" s="288" t="s">
        <v>1</v>
      </c>
      <c r="R180" s="302">
        <v>2.1708241661196198E-2</v>
      </c>
      <c r="S180" s="302">
        <v>0.36572952458380198</v>
      </c>
      <c r="T180" s="302">
        <v>8.6999999999999994E-2</v>
      </c>
      <c r="U180" s="302">
        <v>1.6975608035415088E-3</v>
      </c>
      <c r="V180" s="17"/>
      <c r="W180" s="18"/>
      <c r="X180" s="19"/>
      <c r="Y180" s="20"/>
      <c r="Z180" s="20"/>
      <c r="AA180" s="21"/>
      <c r="AB180" s="22"/>
      <c r="AH180" s="27"/>
      <c r="AI180" s="27"/>
      <c r="AN180" s="58"/>
      <c r="AO180" s="58"/>
      <c r="AP180" s="58"/>
    </row>
    <row r="181" spans="1:42">
      <c r="A181" s="290">
        <v>185</v>
      </c>
      <c r="B181" s="288" t="s">
        <v>724</v>
      </c>
      <c r="C181" s="288" t="s">
        <v>707</v>
      </c>
      <c r="D181" s="288" t="s">
        <v>707</v>
      </c>
      <c r="E181" s="288" t="s">
        <v>174</v>
      </c>
      <c r="F181" s="288" t="s">
        <v>174</v>
      </c>
      <c r="G181" s="288" t="s">
        <v>200</v>
      </c>
      <c r="H181" s="288"/>
      <c r="I181" s="304">
        <v>7.6923076923076919E-3</v>
      </c>
      <c r="J181" s="305">
        <v>0.183</v>
      </c>
      <c r="K181" s="305">
        <v>2.8673068893528183E-4</v>
      </c>
      <c r="L181" s="306">
        <v>1263</v>
      </c>
      <c r="M181" s="305">
        <f t="shared" si="50"/>
        <v>1.2629999999999999</v>
      </c>
      <c r="N181" s="305">
        <v>2.446897704</v>
      </c>
      <c r="O181" s="307">
        <v>1.4770983615231311E-3</v>
      </c>
      <c r="P181" s="288" t="s">
        <v>725</v>
      </c>
      <c r="Q181" s="288" t="s">
        <v>724</v>
      </c>
      <c r="R181" s="302">
        <v>7.6923076923076919E-3</v>
      </c>
      <c r="S181" s="302">
        <v>0.183</v>
      </c>
      <c r="T181" s="302">
        <v>2.446897704</v>
      </c>
      <c r="U181" s="302">
        <v>1.4770983615231311E-3</v>
      </c>
      <c r="V181" s="48"/>
      <c r="W181" s="67" t="s">
        <v>225</v>
      </c>
      <c r="X181" s="19">
        <f t="shared" ref="X181:AA181" si="53">AVERAGE(R175:R181)</f>
        <v>1.655487072173668E-2</v>
      </c>
      <c r="Y181" s="20">
        <f t="shared" si="53"/>
        <v>0.51142133383528077</v>
      </c>
      <c r="Z181" s="20">
        <f t="shared" si="53"/>
        <v>7.8334208027142873</v>
      </c>
      <c r="AA181" s="21">
        <f t="shared" si="53"/>
        <v>2.9773812727677332E-3</v>
      </c>
      <c r="AB181" s="22"/>
      <c r="AH181" s="27"/>
      <c r="AI181" s="27"/>
      <c r="AN181" s="58"/>
      <c r="AO181" s="58"/>
      <c r="AP181" s="58"/>
    </row>
    <row r="182" spans="1:42">
      <c r="A182" s="288">
        <v>172</v>
      </c>
      <c r="B182" s="289" t="s">
        <v>726</v>
      </c>
      <c r="C182" s="289" t="s">
        <v>707</v>
      </c>
      <c r="D182" s="288" t="s">
        <v>727</v>
      </c>
      <c r="E182" s="288" t="s">
        <v>728</v>
      </c>
      <c r="F182" s="289" t="s">
        <v>726</v>
      </c>
      <c r="G182" s="288" t="s">
        <v>729</v>
      </c>
      <c r="H182" s="288"/>
      <c r="I182" s="304">
        <v>1.7000000000000001E-2</v>
      </c>
      <c r="J182" s="305">
        <v>3.15E-2</v>
      </c>
      <c r="K182" s="305">
        <v>9.9999999999999995E-7</v>
      </c>
      <c r="L182" s="306">
        <v>38</v>
      </c>
      <c r="M182" s="305">
        <f t="shared" si="50"/>
        <v>3.7999999999999999E-2</v>
      </c>
      <c r="N182" s="305">
        <f t="shared" ref="N182:N187" si="54">L182/1000</f>
        <v>3.7999999999999999E-2</v>
      </c>
      <c r="O182" s="307">
        <v>9.0389601227534877E-4</v>
      </c>
      <c r="P182" s="289" t="s">
        <v>730</v>
      </c>
      <c r="Q182" s="289" t="s">
        <v>726</v>
      </c>
      <c r="R182" s="315">
        <v>1.7000000000000001E-2</v>
      </c>
      <c r="S182" s="315">
        <v>3.15E-2</v>
      </c>
      <c r="T182" s="315">
        <v>3.7999999999999999E-2</v>
      </c>
      <c r="U182" s="315">
        <v>9.0389601227534877E-4</v>
      </c>
      <c r="V182" s="73"/>
      <c r="W182" s="18"/>
      <c r="X182" s="19"/>
      <c r="Y182" s="20"/>
      <c r="Z182" s="20"/>
      <c r="AA182" s="21"/>
      <c r="AB182" s="22"/>
      <c r="AH182" s="27"/>
      <c r="AI182" s="27"/>
      <c r="AN182" s="58"/>
      <c r="AO182" s="58"/>
      <c r="AP182" s="58"/>
    </row>
    <row r="183" spans="1:42">
      <c r="A183" s="288">
        <v>173</v>
      </c>
      <c r="B183" s="289" t="s">
        <v>731</v>
      </c>
      <c r="C183" s="289" t="s">
        <v>707</v>
      </c>
      <c r="D183" s="288" t="s">
        <v>727</v>
      </c>
      <c r="E183" s="288" t="s">
        <v>728</v>
      </c>
      <c r="F183" s="289" t="s">
        <v>732</v>
      </c>
      <c r="G183" s="288" t="s">
        <v>729</v>
      </c>
      <c r="H183" s="288"/>
      <c r="I183" s="304">
        <v>2.3E-3</v>
      </c>
      <c r="J183" s="305">
        <v>4.7879999999999999E-2</v>
      </c>
      <c r="K183" s="305">
        <v>9.9999999999999995E-7</v>
      </c>
      <c r="L183" s="306">
        <v>38</v>
      </c>
      <c r="M183" s="305">
        <f t="shared" si="50"/>
        <v>3.7999999999999999E-2</v>
      </c>
      <c r="N183" s="305">
        <f t="shared" si="54"/>
        <v>3.7999999999999999E-2</v>
      </c>
      <c r="O183" s="307">
        <v>4.4092488403675551E-4</v>
      </c>
      <c r="P183" s="289" t="s">
        <v>733</v>
      </c>
      <c r="Q183" s="289" t="s">
        <v>731</v>
      </c>
      <c r="R183" s="302">
        <v>2.3E-3</v>
      </c>
      <c r="S183" s="302">
        <v>4.7879999999999999E-2</v>
      </c>
      <c r="T183" s="302">
        <v>3.7999999999999999E-2</v>
      </c>
      <c r="U183" s="302">
        <v>4.4092488403675551E-4</v>
      </c>
      <c r="V183" s="17"/>
      <c r="W183" s="18"/>
      <c r="X183" s="19"/>
      <c r="Y183" s="20"/>
      <c r="Z183" s="20"/>
      <c r="AA183" s="21"/>
      <c r="AB183" s="22"/>
      <c r="AH183" s="27"/>
      <c r="AI183" s="27"/>
      <c r="AN183" s="58"/>
      <c r="AO183" s="58"/>
      <c r="AP183" s="58"/>
    </row>
    <row r="184" spans="1:42">
      <c r="A184" s="288">
        <v>174</v>
      </c>
      <c r="B184" s="289" t="s">
        <v>734</v>
      </c>
      <c r="C184" s="289" t="s">
        <v>707</v>
      </c>
      <c r="D184" s="288" t="s">
        <v>727</v>
      </c>
      <c r="E184" s="288" t="s">
        <v>728</v>
      </c>
      <c r="F184" s="289" t="s">
        <v>732</v>
      </c>
      <c r="G184" s="288" t="s">
        <v>729</v>
      </c>
      <c r="H184" s="288"/>
      <c r="I184" s="304">
        <v>2.3E-3</v>
      </c>
      <c r="J184" s="305">
        <v>4.7879999999999999E-2</v>
      </c>
      <c r="K184" s="305">
        <v>9.9999999999999995E-7</v>
      </c>
      <c r="L184" s="306">
        <v>38</v>
      </c>
      <c r="M184" s="305">
        <f t="shared" si="50"/>
        <v>3.7999999999999999E-2</v>
      </c>
      <c r="N184" s="305">
        <f t="shared" si="54"/>
        <v>3.7999999999999999E-2</v>
      </c>
      <c r="O184" s="307">
        <v>4.4092488403675551E-4</v>
      </c>
      <c r="P184" s="289" t="s">
        <v>735</v>
      </c>
      <c r="Q184" s="289" t="s">
        <v>734</v>
      </c>
      <c r="R184" s="302">
        <v>2.3E-3</v>
      </c>
      <c r="S184" s="302">
        <v>4.7879999999999999E-2</v>
      </c>
      <c r="T184" s="302">
        <v>3.7999999999999999E-2</v>
      </c>
      <c r="U184" s="302">
        <v>4.4092488403675551E-4</v>
      </c>
      <c r="V184" s="17"/>
      <c r="W184" s="18"/>
      <c r="X184" s="19"/>
      <c r="Y184" s="20"/>
      <c r="Z184" s="20"/>
      <c r="AA184" s="21"/>
      <c r="AB184" s="22"/>
      <c r="AH184" s="27"/>
      <c r="AI184" s="27"/>
      <c r="AN184" s="58"/>
      <c r="AO184" s="58"/>
      <c r="AP184" s="58"/>
    </row>
    <row r="185" spans="1:42">
      <c r="A185" s="290">
        <v>175</v>
      </c>
      <c r="B185" s="289" t="s">
        <v>736</v>
      </c>
      <c r="C185" s="289" t="s">
        <v>707</v>
      </c>
      <c r="D185" s="288" t="s">
        <v>727</v>
      </c>
      <c r="E185" s="288" t="s">
        <v>728</v>
      </c>
      <c r="F185" s="289" t="s">
        <v>732</v>
      </c>
      <c r="G185" s="288" t="s">
        <v>729</v>
      </c>
      <c r="H185" s="288"/>
      <c r="I185" s="304">
        <v>2.3E-3</v>
      </c>
      <c r="J185" s="305">
        <v>4.7879999999999999E-2</v>
      </c>
      <c r="K185" s="305">
        <v>9.9999999999999995E-7</v>
      </c>
      <c r="L185" s="306">
        <v>38</v>
      </c>
      <c r="M185" s="305">
        <f t="shared" si="50"/>
        <v>3.7999999999999999E-2</v>
      </c>
      <c r="N185" s="305">
        <f t="shared" si="54"/>
        <v>3.7999999999999999E-2</v>
      </c>
      <c r="O185" s="307">
        <v>4.4092488403675551E-4</v>
      </c>
      <c r="P185" s="289" t="s">
        <v>737</v>
      </c>
      <c r="Q185" s="289" t="s">
        <v>736</v>
      </c>
      <c r="R185" s="302">
        <v>2.3E-3</v>
      </c>
      <c r="S185" s="302">
        <v>4.7879999999999999E-2</v>
      </c>
      <c r="T185" s="302">
        <v>3.7999999999999999E-2</v>
      </c>
      <c r="U185" s="302">
        <v>4.4092488403675551E-4</v>
      </c>
      <c r="V185" s="17"/>
      <c r="W185" s="18"/>
      <c r="X185" s="19"/>
      <c r="Y185" s="20"/>
      <c r="Z185" s="20"/>
      <c r="AA185" s="21"/>
      <c r="AB185" s="22"/>
      <c r="AH185" s="27"/>
      <c r="AI185" s="27"/>
      <c r="AN185" s="58"/>
      <c r="AO185" s="58"/>
      <c r="AP185" s="58"/>
    </row>
    <row r="186" spans="1:42">
      <c r="A186" s="288">
        <v>176</v>
      </c>
      <c r="B186" s="289" t="s">
        <v>738</v>
      </c>
      <c r="C186" s="289" t="s">
        <v>707</v>
      </c>
      <c r="D186" s="288" t="s">
        <v>727</v>
      </c>
      <c r="E186" s="288" t="s">
        <v>728</v>
      </c>
      <c r="F186" s="289" t="s">
        <v>732</v>
      </c>
      <c r="G186" s="288" t="s">
        <v>729</v>
      </c>
      <c r="H186" s="288"/>
      <c r="I186" s="304">
        <v>2.3E-3</v>
      </c>
      <c r="J186" s="305">
        <v>4.7879999999999999E-2</v>
      </c>
      <c r="K186" s="305">
        <v>9.9999999999999995E-7</v>
      </c>
      <c r="L186" s="306">
        <v>38</v>
      </c>
      <c r="M186" s="305">
        <f t="shared" si="50"/>
        <v>3.7999999999999999E-2</v>
      </c>
      <c r="N186" s="305">
        <f t="shared" si="54"/>
        <v>3.7999999999999999E-2</v>
      </c>
      <c r="O186" s="307">
        <v>4.4092488403675551E-4</v>
      </c>
      <c r="P186" s="289" t="s">
        <v>739</v>
      </c>
      <c r="Q186" s="289" t="s">
        <v>738</v>
      </c>
      <c r="R186" s="302">
        <v>2.3E-3</v>
      </c>
      <c r="S186" s="302">
        <v>4.7879999999999999E-2</v>
      </c>
      <c r="T186" s="302">
        <v>3.7999999999999999E-2</v>
      </c>
      <c r="U186" s="302">
        <v>4.4092488403675551E-4</v>
      </c>
      <c r="V186" s="17"/>
      <c r="W186" s="18"/>
      <c r="X186" s="19"/>
      <c r="Y186" s="20"/>
      <c r="Z186" s="20"/>
      <c r="AA186" s="21"/>
      <c r="AB186" s="22"/>
      <c r="AH186" s="27"/>
      <c r="AI186" s="27"/>
      <c r="AN186" s="58"/>
      <c r="AO186" s="58"/>
      <c r="AP186" s="58"/>
    </row>
    <row r="187" spans="1:42">
      <c r="A187" s="288">
        <v>177</v>
      </c>
      <c r="B187" s="289" t="s">
        <v>740</v>
      </c>
      <c r="C187" s="289" t="s">
        <v>707</v>
      </c>
      <c r="D187" s="288" t="s">
        <v>727</v>
      </c>
      <c r="E187" s="288" t="s">
        <v>728</v>
      </c>
      <c r="F187" s="289" t="s">
        <v>732</v>
      </c>
      <c r="G187" s="288" t="s">
        <v>729</v>
      </c>
      <c r="H187" s="288"/>
      <c r="I187" s="304">
        <v>2.3E-3</v>
      </c>
      <c r="J187" s="305">
        <v>4.7879999999999999E-2</v>
      </c>
      <c r="K187" s="305">
        <v>9.9999999999999995E-7</v>
      </c>
      <c r="L187" s="306">
        <v>38</v>
      </c>
      <c r="M187" s="305">
        <f t="shared" si="50"/>
        <v>3.7999999999999999E-2</v>
      </c>
      <c r="N187" s="305">
        <f t="shared" si="54"/>
        <v>3.7999999999999999E-2</v>
      </c>
      <c r="O187" s="307">
        <v>4.4092488403675551E-4</v>
      </c>
      <c r="P187" s="289" t="s">
        <v>741</v>
      </c>
      <c r="Q187" s="289" t="s">
        <v>740</v>
      </c>
      <c r="R187" s="302">
        <v>2.3E-3</v>
      </c>
      <c r="S187" s="302">
        <v>4.7879999999999999E-2</v>
      </c>
      <c r="T187" s="302">
        <v>3.7999999999999999E-2</v>
      </c>
      <c r="U187" s="302">
        <v>4.4092488403675551E-4</v>
      </c>
      <c r="V187" s="17"/>
      <c r="W187" s="18"/>
      <c r="X187" s="19"/>
      <c r="Y187" s="20"/>
      <c r="Z187" s="20"/>
      <c r="AA187" s="21"/>
      <c r="AB187" s="22"/>
      <c r="AH187" s="27"/>
      <c r="AI187" s="27"/>
      <c r="AN187" s="58"/>
      <c r="AO187" s="58"/>
      <c r="AP187" s="58"/>
    </row>
    <row r="188" spans="1:42">
      <c r="A188" s="288">
        <v>180</v>
      </c>
      <c r="B188" s="288" t="s">
        <v>742</v>
      </c>
      <c r="C188" s="288" t="s">
        <v>707</v>
      </c>
      <c r="D188" s="288" t="s">
        <v>727</v>
      </c>
      <c r="E188" s="288" t="s">
        <v>7</v>
      </c>
      <c r="F188" s="288" t="s">
        <v>743</v>
      </c>
      <c r="G188" s="288" t="s">
        <v>744</v>
      </c>
      <c r="H188" s="288"/>
      <c r="I188" s="304">
        <v>2.9691872042618299E-2</v>
      </c>
      <c r="J188" s="305">
        <v>7.5368545517799299E-2</v>
      </c>
      <c r="K188" s="305">
        <v>2.9014018691588786E-4</v>
      </c>
      <c r="L188" s="306">
        <v>500</v>
      </c>
      <c r="M188" s="305">
        <f t="shared" si="50"/>
        <v>0.5</v>
      </c>
      <c r="N188" s="305">
        <v>2.0724299070000001</v>
      </c>
      <c r="O188" s="307">
        <v>1.4770983615231311E-3</v>
      </c>
      <c r="P188" s="288" t="s">
        <v>745</v>
      </c>
      <c r="Q188" s="288" t="s">
        <v>742</v>
      </c>
      <c r="R188" s="315">
        <v>2.9691872042618299E-2</v>
      </c>
      <c r="S188" s="315">
        <v>7.5368545517799299E-2</v>
      </c>
      <c r="T188" s="315">
        <v>2.0724299070000001</v>
      </c>
      <c r="U188" s="315">
        <v>1.4770983615231311E-3</v>
      </c>
      <c r="V188" s="73"/>
      <c r="W188" s="18"/>
      <c r="X188" s="19"/>
      <c r="Y188" s="20"/>
      <c r="Z188" s="20"/>
      <c r="AA188" s="21"/>
      <c r="AB188" s="22"/>
      <c r="AH188" s="27"/>
      <c r="AI188" s="27"/>
      <c r="AN188" s="58"/>
      <c r="AO188" s="58"/>
      <c r="AP188" s="58"/>
    </row>
    <row r="189" spans="1:42">
      <c r="A189" s="290">
        <v>181</v>
      </c>
      <c r="B189" s="288" t="s">
        <v>8</v>
      </c>
      <c r="C189" s="288" t="s">
        <v>707</v>
      </c>
      <c r="D189" s="288" t="s">
        <v>727</v>
      </c>
      <c r="E189" s="288" t="s">
        <v>7</v>
      </c>
      <c r="F189" s="288" t="s">
        <v>743</v>
      </c>
      <c r="G189" s="288" t="s">
        <v>744</v>
      </c>
      <c r="H189" s="288"/>
      <c r="I189" s="304">
        <v>2.9691872042618299E-2</v>
      </c>
      <c r="J189" s="305">
        <v>7.5368545517799299E-2</v>
      </c>
      <c r="K189" s="305">
        <v>2.9014018691588786E-4</v>
      </c>
      <c r="L189" s="306">
        <v>500</v>
      </c>
      <c r="M189" s="305">
        <f t="shared" si="50"/>
        <v>0.5</v>
      </c>
      <c r="N189" s="305">
        <v>2.0724299070000001</v>
      </c>
      <c r="O189" s="307">
        <v>1.4770983615231311E-3</v>
      </c>
      <c r="P189" s="288" t="s">
        <v>746</v>
      </c>
      <c r="Q189" s="288" t="s">
        <v>8</v>
      </c>
      <c r="R189" s="302">
        <v>2.9691872042618299E-2</v>
      </c>
      <c r="S189" s="302">
        <v>7.5368545517799299E-2</v>
      </c>
      <c r="T189" s="302">
        <v>2.0724299070000001</v>
      </c>
      <c r="U189" s="302">
        <v>1.4770983615231311E-3</v>
      </c>
      <c r="V189" s="17"/>
      <c r="W189" s="18"/>
      <c r="X189" s="19"/>
      <c r="Y189" s="20"/>
      <c r="Z189" s="20"/>
      <c r="AA189" s="21"/>
      <c r="AB189" s="22"/>
      <c r="AH189" s="27"/>
      <c r="AI189" s="27"/>
      <c r="AN189" s="58"/>
      <c r="AO189" s="58"/>
      <c r="AP189" s="58"/>
    </row>
    <row r="190" spans="1:42">
      <c r="A190" s="288">
        <v>182</v>
      </c>
      <c r="B190" s="288" t="s">
        <v>747</v>
      </c>
      <c r="C190" s="288" t="s">
        <v>707</v>
      </c>
      <c r="D190" s="288" t="s">
        <v>727</v>
      </c>
      <c r="E190" s="288" t="s">
        <v>7</v>
      </c>
      <c r="F190" s="288" t="s">
        <v>743</v>
      </c>
      <c r="G190" s="288" t="s">
        <v>744</v>
      </c>
      <c r="H190" s="288"/>
      <c r="I190" s="304">
        <v>2.9691872042618299E-2</v>
      </c>
      <c r="J190" s="305">
        <v>7.5368545517799299E-2</v>
      </c>
      <c r="K190" s="305">
        <v>2.9014018691588786E-4</v>
      </c>
      <c r="L190" s="306">
        <v>500</v>
      </c>
      <c r="M190" s="305">
        <f t="shared" si="50"/>
        <v>0.5</v>
      </c>
      <c r="N190" s="305">
        <v>2.0724299070000001</v>
      </c>
      <c r="O190" s="307">
        <v>1.4770983615231311E-3</v>
      </c>
      <c r="P190" s="288" t="s">
        <v>748</v>
      </c>
      <c r="Q190" s="288" t="s">
        <v>747</v>
      </c>
      <c r="R190" s="302">
        <v>2.9691872042618299E-2</v>
      </c>
      <c r="S190" s="302">
        <v>7.5368545517799299E-2</v>
      </c>
      <c r="T190" s="302">
        <v>2.0724299070000001</v>
      </c>
      <c r="U190" s="302">
        <v>1.4770983615231311E-3</v>
      </c>
      <c r="V190" s="17"/>
      <c r="W190" s="18"/>
      <c r="X190" s="19"/>
      <c r="Y190" s="20"/>
      <c r="Z190" s="20"/>
      <c r="AA190" s="21"/>
      <c r="AB190" s="22"/>
      <c r="AH190" s="27"/>
      <c r="AI190" s="27"/>
      <c r="AN190" s="58"/>
      <c r="AO190" s="58"/>
      <c r="AP190" s="58"/>
    </row>
    <row r="191" spans="1:42">
      <c r="A191" s="288">
        <v>183</v>
      </c>
      <c r="B191" s="288" t="s">
        <v>749</v>
      </c>
      <c r="C191" s="288" t="s">
        <v>707</v>
      </c>
      <c r="D191" s="288" t="s">
        <v>727</v>
      </c>
      <c r="E191" s="288" t="s">
        <v>7</v>
      </c>
      <c r="F191" s="288" t="s">
        <v>743</v>
      </c>
      <c r="G191" s="288" t="s">
        <v>744</v>
      </c>
      <c r="H191" s="288"/>
      <c r="I191" s="304">
        <v>2.9691872042618299E-2</v>
      </c>
      <c r="J191" s="305">
        <v>7.5368545517799299E-2</v>
      </c>
      <c r="K191" s="305">
        <v>2.9014018691588786E-4</v>
      </c>
      <c r="L191" s="306">
        <v>500</v>
      </c>
      <c r="M191" s="305">
        <f t="shared" si="50"/>
        <v>0.5</v>
      </c>
      <c r="N191" s="305">
        <v>2.0724299070000001</v>
      </c>
      <c r="O191" s="307">
        <v>1.4770983615231311E-3</v>
      </c>
      <c r="P191" s="288" t="s">
        <v>750</v>
      </c>
      <c r="Q191" s="288" t="s">
        <v>749</v>
      </c>
      <c r="R191" s="302">
        <v>2.9691872042618299E-2</v>
      </c>
      <c r="S191" s="302">
        <v>7.5368545517799299E-2</v>
      </c>
      <c r="T191" s="302">
        <v>2.0724299070000001</v>
      </c>
      <c r="U191" s="302">
        <v>1.4770983615231311E-3</v>
      </c>
      <c r="V191" s="17"/>
      <c r="W191" s="18"/>
      <c r="X191" s="19"/>
      <c r="Y191" s="20"/>
      <c r="Z191" s="20"/>
      <c r="AA191" s="21"/>
      <c r="AB191" s="22"/>
      <c r="AH191" s="27"/>
      <c r="AI191" s="27"/>
      <c r="AN191" s="58"/>
      <c r="AO191" s="58"/>
      <c r="AP191" s="58"/>
    </row>
    <row r="192" spans="1:42">
      <c r="A192" s="288">
        <v>184</v>
      </c>
      <c r="B192" s="288" t="s">
        <v>751</v>
      </c>
      <c r="C192" s="288" t="s">
        <v>707</v>
      </c>
      <c r="D192" s="288" t="s">
        <v>727</v>
      </c>
      <c r="E192" s="288" t="s">
        <v>7</v>
      </c>
      <c r="F192" s="288" t="s">
        <v>743</v>
      </c>
      <c r="G192" s="288" t="s">
        <v>744</v>
      </c>
      <c r="H192" s="288"/>
      <c r="I192" s="304">
        <v>2.9691872042618299E-2</v>
      </c>
      <c r="J192" s="305">
        <v>7.5368545517799299E-2</v>
      </c>
      <c r="K192" s="305">
        <v>2.9014018691588786E-4</v>
      </c>
      <c r="L192" s="306">
        <v>500</v>
      </c>
      <c r="M192" s="305">
        <f t="shared" si="50"/>
        <v>0.5</v>
      </c>
      <c r="N192" s="305">
        <v>2.0724299070000001</v>
      </c>
      <c r="O192" s="307">
        <v>1.4770983615231311E-3</v>
      </c>
      <c r="P192" s="288" t="s">
        <v>752</v>
      </c>
      <c r="Q192" s="288" t="s">
        <v>751</v>
      </c>
      <c r="R192" s="302">
        <v>2.9691872042618299E-2</v>
      </c>
      <c r="S192" s="302">
        <v>7.5368545517799299E-2</v>
      </c>
      <c r="T192" s="302">
        <v>2.0724299070000001</v>
      </c>
      <c r="U192" s="302">
        <v>1.4770983615231311E-3</v>
      </c>
      <c r="V192" s="17"/>
      <c r="W192" s="67" t="s">
        <v>228</v>
      </c>
      <c r="X192" s="19">
        <f t="shared" ref="X192:AA192" si="55">AVERAGE(R182:R192,R177)</f>
        <v>1.4835387543937378E-2</v>
      </c>
      <c r="Y192" s="20">
        <f t="shared" si="55"/>
        <v>5.5418029952482711E-2</v>
      </c>
      <c r="Z192" s="20">
        <f t="shared" si="55"/>
        <v>1.1325957945833334</v>
      </c>
      <c r="AA192" s="21">
        <f t="shared" si="55"/>
        <v>1.0528343533395652E-3</v>
      </c>
      <c r="AB192" s="22"/>
      <c r="AH192" s="27"/>
      <c r="AI192" s="27"/>
      <c r="AN192" s="58"/>
      <c r="AO192" s="58"/>
      <c r="AP192" s="58"/>
    </row>
    <row r="193" spans="1:42">
      <c r="A193" s="290">
        <v>31</v>
      </c>
      <c r="B193" s="288" t="s">
        <v>753</v>
      </c>
      <c r="C193" s="288" t="s">
        <v>754</v>
      </c>
      <c r="D193" s="288" t="s">
        <v>755</v>
      </c>
      <c r="E193" s="288" t="s">
        <v>754</v>
      </c>
      <c r="F193" s="288" t="s">
        <v>174</v>
      </c>
      <c r="G193" s="288" t="s">
        <v>174</v>
      </c>
      <c r="H193" s="288"/>
      <c r="I193" s="304">
        <v>0</v>
      </c>
      <c r="J193" s="305">
        <v>0</v>
      </c>
      <c r="K193" s="305">
        <v>0</v>
      </c>
      <c r="L193" s="306">
        <v>546</v>
      </c>
      <c r="M193" s="305">
        <f t="shared" si="50"/>
        <v>0.54600000000000004</v>
      </c>
      <c r="N193" s="305">
        <f t="shared" ref="N193:N195" si="56">L193/1000</f>
        <v>0.54600000000000004</v>
      </c>
      <c r="O193" s="307">
        <v>0</v>
      </c>
      <c r="P193" s="288" t="s">
        <v>756</v>
      </c>
      <c r="Q193" s="288" t="s">
        <v>753</v>
      </c>
      <c r="R193" s="302">
        <v>0</v>
      </c>
      <c r="S193" s="302">
        <v>0</v>
      </c>
      <c r="T193" s="302">
        <v>0.54600000000000004</v>
      </c>
      <c r="U193" s="302">
        <v>0</v>
      </c>
      <c r="V193" s="48"/>
      <c r="W193" s="18"/>
      <c r="X193" s="19"/>
      <c r="Y193" s="20"/>
      <c r="Z193" s="20"/>
      <c r="AA193" s="21"/>
      <c r="AB193" s="22"/>
      <c r="AH193" s="27"/>
      <c r="AI193" s="27"/>
      <c r="AN193" s="58"/>
      <c r="AO193" s="58"/>
      <c r="AP193" s="58"/>
    </row>
    <row r="194" spans="1:42">
      <c r="A194" s="288">
        <v>32</v>
      </c>
      <c r="B194" s="288" t="s">
        <v>757</v>
      </c>
      <c r="C194" s="288" t="s">
        <v>754</v>
      </c>
      <c r="D194" s="288" t="s">
        <v>755</v>
      </c>
      <c r="E194" s="288" t="s">
        <v>174</v>
      </c>
      <c r="F194" s="288" t="s">
        <v>174</v>
      </c>
      <c r="G194" s="288" t="s">
        <v>200</v>
      </c>
      <c r="H194" s="288"/>
      <c r="I194" s="304">
        <v>1.3100000000000001E-2</v>
      </c>
      <c r="J194" s="305">
        <v>0.27117000000000002</v>
      </c>
      <c r="K194" s="305">
        <v>4.1E-5</v>
      </c>
      <c r="L194" s="306">
        <v>23798</v>
      </c>
      <c r="M194" s="305">
        <f t="shared" si="50"/>
        <v>23.797999999999998</v>
      </c>
      <c r="N194" s="305">
        <f t="shared" si="56"/>
        <v>23.797999999999998</v>
      </c>
      <c r="O194" s="307">
        <v>1.8699999999999999E-3</v>
      </c>
      <c r="P194" s="288" t="s">
        <v>758</v>
      </c>
      <c r="Q194" s="288" t="s">
        <v>757</v>
      </c>
      <c r="R194" s="302">
        <v>1.3100000000000001E-2</v>
      </c>
      <c r="S194" s="302">
        <v>0.27117000000000002</v>
      </c>
      <c r="T194" s="302">
        <v>23.797999999999998</v>
      </c>
      <c r="U194" s="302">
        <v>1.8699999999999999E-3</v>
      </c>
      <c r="V194" s="48"/>
      <c r="W194" s="18"/>
      <c r="X194" s="19"/>
      <c r="Y194" s="20"/>
      <c r="Z194" s="20"/>
      <c r="AA194" s="21"/>
      <c r="AB194" s="22"/>
      <c r="AH194" s="27"/>
      <c r="AI194" s="27"/>
      <c r="AN194" s="58"/>
      <c r="AO194" s="58"/>
      <c r="AP194" s="58"/>
    </row>
    <row r="195" spans="1:42">
      <c r="A195" s="288">
        <v>33</v>
      </c>
      <c r="B195" s="288" t="s">
        <v>759</v>
      </c>
      <c r="C195" s="288" t="s">
        <v>754</v>
      </c>
      <c r="D195" s="288" t="s">
        <v>755</v>
      </c>
      <c r="E195" s="288" t="s">
        <v>754</v>
      </c>
      <c r="F195" s="288" t="s">
        <v>174</v>
      </c>
      <c r="G195" s="288" t="s">
        <v>174</v>
      </c>
      <c r="H195" s="288"/>
      <c r="I195" s="304">
        <v>0</v>
      </c>
      <c r="J195" s="305">
        <v>0</v>
      </c>
      <c r="K195" s="305">
        <v>0</v>
      </c>
      <c r="L195" s="306">
        <v>25270</v>
      </c>
      <c r="M195" s="305">
        <f t="shared" si="50"/>
        <v>25.27</v>
      </c>
      <c r="N195" s="305">
        <f t="shared" si="56"/>
        <v>25.27</v>
      </c>
      <c r="O195" s="307">
        <v>0</v>
      </c>
      <c r="P195" s="288" t="s">
        <v>760</v>
      </c>
      <c r="Q195" s="288" t="s">
        <v>759</v>
      </c>
      <c r="R195" s="302">
        <v>0</v>
      </c>
      <c r="S195" s="302">
        <v>0</v>
      </c>
      <c r="T195" s="302">
        <v>25.27</v>
      </c>
      <c r="U195" s="302">
        <v>0</v>
      </c>
      <c r="V195" s="48"/>
      <c r="W195" s="18"/>
      <c r="X195" s="19"/>
      <c r="Y195" s="20"/>
      <c r="Z195" s="20"/>
      <c r="AA195" s="21"/>
      <c r="AB195" s="22"/>
      <c r="AH195" s="27"/>
      <c r="AI195" s="27"/>
      <c r="AN195" s="58"/>
      <c r="AO195" s="58"/>
      <c r="AP195" s="58"/>
    </row>
    <row r="196" spans="1:42">
      <c r="A196" s="288">
        <v>34</v>
      </c>
      <c r="B196" s="288" t="s">
        <v>761</v>
      </c>
      <c r="C196" s="288" t="s">
        <v>754</v>
      </c>
      <c r="D196" s="288" t="s">
        <v>755</v>
      </c>
      <c r="E196" s="288" t="s">
        <v>174</v>
      </c>
      <c r="F196" s="288" t="s">
        <v>174</v>
      </c>
      <c r="G196" s="288" t="s">
        <v>200</v>
      </c>
      <c r="H196" s="288"/>
      <c r="I196" s="304">
        <v>1.9912385503783353E-2</v>
      </c>
      <c r="J196" s="305">
        <v>5.6949422540820388E-2</v>
      </c>
      <c r="K196" s="305">
        <v>3.8829151732377542E-3</v>
      </c>
      <c r="L196" s="306">
        <v>956</v>
      </c>
      <c r="M196" s="305">
        <f t="shared" si="50"/>
        <v>0.95599999999999996</v>
      </c>
      <c r="N196" s="305">
        <v>0.23708799999999999</v>
      </c>
      <c r="O196" s="307">
        <v>5.6321186778176026E-3</v>
      </c>
      <c r="P196" s="288" t="s">
        <v>762</v>
      </c>
      <c r="Q196" s="288" t="s">
        <v>761</v>
      </c>
      <c r="R196" s="302">
        <v>1.9912385503783353E-2</v>
      </c>
      <c r="S196" s="302">
        <v>5.6949422540820388E-2</v>
      </c>
      <c r="T196" s="302">
        <v>0.23708799999999999</v>
      </c>
      <c r="U196" s="302">
        <v>5.6321186778176026E-3</v>
      </c>
      <c r="V196" s="48"/>
      <c r="W196" s="18"/>
      <c r="X196" s="19"/>
      <c r="Y196" s="20"/>
      <c r="Z196" s="20"/>
      <c r="AA196" s="21"/>
      <c r="AB196" s="22"/>
      <c r="AH196" s="27"/>
      <c r="AI196" s="27"/>
      <c r="AN196" s="58"/>
      <c r="AO196" s="58"/>
      <c r="AP196" s="58"/>
    </row>
    <row r="197" spans="1:42">
      <c r="A197" s="290">
        <v>35</v>
      </c>
      <c r="B197" s="288" t="s">
        <v>763</v>
      </c>
      <c r="C197" s="288" t="s">
        <v>754</v>
      </c>
      <c r="D197" s="288" t="s">
        <v>755</v>
      </c>
      <c r="E197" s="288"/>
      <c r="F197" s="288"/>
      <c r="G197" s="288"/>
      <c r="H197" s="288"/>
      <c r="I197" s="304"/>
      <c r="J197" s="305"/>
      <c r="K197" s="305"/>
      <c r="L197" s="306"/>
      <c r="M197" s="305"/>
      <c r="N197" s="305"/>
      <c r="O197" s="307"/>
      <c r="P197" s="288" t="s">
        <v>764</v>
      </c>
      <c r="Q197" s="288" t="s">
        <v>765</v>
      </c>
      <c r="R197" s="302">
        <v>0</v>
      </c>
      <c r="S197" s="302">
        <v>0</v>
      </c>
      <c r="T197" s="302">
        <v>0</v>
      </c>
      <c r="U197" s="302">
        <v>0</v>
      </c>
      <c r="V197" s="48"/>
      <c r="W197" s="18"/>
      <c r="X197" s="19"/>
      <c r="Y197" s="20"/>
      <c r="Z197" s="20"/>
      <c r="AA197" s="21"/>
      <c r="AB197" s="22"/>
      <c r="AH197" s="27"/>
      <c r="AI197" s="27"/>
      <c r="AN197" s="58"/>
      <c r="AO197" s="58"/>
      <c r="AP197" s="58"/>
    </row>
    <row r="198" spans="1:42">
      <c r="A198" s="288">
        <v>36</v>
      </c>
      <c r="B198" s="288" t="s">
        <v>766</v>
      </c>
      <c r="C198" s="288" t="s">
        <v>754</v>
      </c>
      <c r="D198" s="288" t="s">
        <v>755</v>
      </c>
      <c r="E198" s="288" t="s">
        <v>754</v>
      </c>
      <c r="F198" s="288" t="s">
        <v>174</v>
      </c>
      <c r="G198" s="288" t="s">
        <v>174</v>
      </c>
      <c r="H198" s="288"/>
      <c r="I198" s="304">
        <v>0</v>
      </c>
      <c r="J198" s="305">
        <v>0</v>
      </c>
      <c r="K198" s="305">
        <v>0</v>
      </c>
      <c r="L198" s="306">
        <v>1570</v>
      </c>
      <c r="M198" s="305">
        <f>L198/1000</f>
        <v>1.57</v>
      </c>
      <c r="N198" s="305">
        <f>L198/1000</f>
        <v>1.57</v>
      </c>
      <c r="O198" s="307">
        <v>0</v>
      </c>
      <c r="P198" s="288" t="s">
        <v>767</v>
      </c>
      <c r="Q198" s="288" t="s">
        <v>766</v>
      </c>
      <c r="R198" s="302">
        <v>0</v>
      </c>
      <c r="S198" s="302">
        <v>0</v>
      </c>
      <c r="T198" s="302">
        <v>1.57</v>
      </c>
      <c r="U198" s="302">
        <v>0</v>
      </c>
      <c r="V198" s="48"/>
      <c r="W198" s="18"/>
      <c r="X198" s="19"/>
      <c r="Y198" s="20"/>
      <c r="Z198" s="20"/>
      <c r="AA198" s="21"/>
      <c r="AB198" s="22"/>
      <c r="AH198" s="27"/>
      <c r="AI198" s="27"/>
      <c r="AN198" s="58"/>
      <c r="AO198" s="58"/>
      <c r="AP198" s="58"/>
    </row>
    <row r="199" spans="1:42">
      <c r="A199" s="288">
        <v>37</v>
      </c>
      <c r="B199" s="288" t="s">
        <v>768</v>
      </c>
      <c r="C199" s="288" t="s">
        <v>754</v>
      </c>
      <c r="D199" s="288" t="s">
        <v>755</v>
      </c>
      <c r="E199" s="288"/>
      <c r="F199" s="288"/>
      <c r="G199" s="288"/>
      <c r="H199" s="288"/>
      <c r="I199" s="304"/>
      <c r="J199" s="305"/>
      <c r="K199" s="305"/>
      <c r="L199" s="306"/>
      <c r="M199" s="305"/>
      <c r="N199" s="305"/>
      <c r="O199" s="307"/>
      <c r="P199" s="288" t="s">
        <v>769</v>
      </c>
      <c r="Q199" s="288" t="s">
        <v>770</v>
      </c>
      <c r="R199" s="302">
        <v>6.1876708902468443E-3</v>
      </c>
      <c r="S199" s="302">
        <v>6.2211605686320212E-2</v>
      </c>
      <c r="T199" s="302">
        <v>1.2629999999999999</v>
      </c>
      <c r="U199" s="302">
        <v>8.4800000000000001E-4</v>
      </c>
      <c r="V199" s="48"/>
      <c r="W199" s="18"/>
      <c r="X199" s="19"/>
      <c r="Y199" s="20"/>
      <c r="Z199" s="20"/>
      <c r="AA199" s="21"/>
      <c r="AB199" s="22"/>
      <c r="AH199" s="27"/>
      <c r="AI199" s="27"/>
      <c r="AN199" s="58"/>
      <c r="AO199" s="58"/>
      <c r="AP199" s="58"/>
    </row>
    <row r="200" spans="1:42">
      <c r="A200" s="288">
        <v>38</v>
      </c>
      <c r="B200" s="288" t="s">
        <v>771</v>
      </c>
      <c r="C200" s="288" t="s">
        <v>754</v>
      </c>
      <c r="D200" s="288" t="s">
        <v>755</v>
      </c>
      <c r="E200" s="288" t="s">
        <v>174</v>
      </c>
      <c r="F200" s="288" t="s">
        <v>174</v>
      </c>
      <c r="G200" s="288" t="s">
        <v>772</v>
      </c>
      <c r="H200" s="288"/>
      <c r="I200" s="305">
        <v>0</v>
      </c>
      <c r="J200" s="305">
        <v>0</v>
      </c>
      <c r="K200" s="305">
        <v>0</v>
      </c>
      <c r="L200" s="306">
        <v>0</v>
      </c>
      <c r="M200" s="305">
        <f>L200/1000</f>
        <v>0</v>
      </c>
      <c r="N200" s="305">
        <f>L200/1000</f>
        <v>0</v>
      </c>
      <c r="O200" s="305">
        <v>0</v>
      </c>
      <c r="P200" s="288" t="s">
        <v>773</v>
      </c>
      <c r="Q200" s="288" t="s">
        <v>771</v>
      </c>
      <c r="R200" s="302">
        <v>0</v>
      </c>
      <c r="S200" s="302">
        <v>0</v>
      </c>
      <c r="T200" s="302">
        <v>0</v>
      </c>
      <c r="U200" s="302">
        <v>0</v>
      </c>
      <c r="V200" s="48"/>
      <c r="W200" s="18"/>
      <c r="X200" s="19"/>
      <c r="Y200" s="20"/>
      <c r="Z200" s="20"/>
      <c r="AA200" s="21"/>
      <c r="AB200" s="22"/>
      <c r="AH200" s="27"/>
      <c r="AI200" s="27"/>
      <c r="AN200" s="58"/>
      <c r="AO200" s="58"/>
      <c r="AP200" s="58"/>
    </row>
    <row r="201" spans="1:42">
      <c r="A201" s="290">
        <v>39</v>
      </c>
      <c r="B201" s="288" t="s">
        <v>774</v>
      </c>
      <c r="C201" s="288" t="s">
        <v>754</v>
      </c>
      <c r="D201" s="288" t="s">
        <v>755</v>
      </c>
      <c r="E201" s="288"/>
      <c r="F201" s="288"/>
      <c r="G201" s="288"/>
      <c r="H201" s="288"/>
      <c r="I201" s="305"/>
      <c r="J201" s="305"/>
      <c r="K201" s="305"/>
      <c r="L201" s="306"/>
      <c r="M201" s="305"/>
      <c r="N201" s="305"/>
      <c r="O201" s="305"/>
      <c r="P201" s="288" t="s">
        <v>775</v>
      </c>
      <c r="Q201" s="288" t="s">
        <v>776</v>
      </c>
      <c r="R201" s="302">
        <v>2.2750309693716459E-2</v>
      </c>
      <c r="S201" s="302">
        <v>2.4176679367159767E-2</v>
      </c>
      <c r="T201" s="302">
        <v>19.213000000000001</v>
      </c>
      <c r="U201" s="302">
        <v>2.5374997380372779E-3</v>
      </c>
      <c r="V201" s="48"/>
      <c r="W201" s="18"/>
      <c r="X201" s="19"/>
      <c r="Y201" s="20"/>
      <c r="Z201" s="20"/>
      <c r="AA201" s="21"/>
      <c r="AB201" s="22"/>
      <c r="AH201" s="27"/>
      <c r="AI201" s="27"/>
      <c r="AN201" s="58"/>
      <c r="AO201" s="58"/>
      <c r="AP201" s="58"/>
    </row>
    <row r="202" spans="1:42">
      <c r="A202" s="288">
        <v>40</v>
      </c>
      <c r="B202" s="288" t="s">
        <v>777</v>
      </c>
      <c r="C202" s="288" t="s">
        <v>754</v>
      </c>
      <c r="D202" s="288" t="s">
        <v>755</v>
      </c>
      <c r="E202" s="288"/>
      <c r="F202" s="288"/>
      <c r="G202" s="288"/>
      <c r="H202" s="288"/>
      <c r="I202" s="305"/>
      <c r="J202" s="305"/>
      <c r="K202" s="305"/>
      <c r="L202" s="306"/>
      <c r="M202" s="305"/>
      <c r="N202" s="305"/>
      <c r="O202" s="305"/>
      <c r="P202" s="288" t="s">
        <v>778</v>
      </c>
      <c r="Q202" s="288" t="s">
        <v>777</v>
      </c>
      <c r="R202" s="302">
        <v>2.7729898524999998E-2</v>
      </c>
      <c r="S202" s="302">
        <v>0.137039281125</v>
      </c>
      <c r="T202" s="302">
        <v>86.625</v>
      </c>
      <c r="U202" s="302">
        <v>1.0554031914893618E-2</v>
      </c>
      <c r="V202" s="48"/>
      <c r="W202" s="18"/>
      <c r="X202" s="19"/>
      <c r="Y202" s="20"/>
      <c r="Z202" s="20"/>
      <c r="AA202" s="21"/>
      <c r="AB202" s="22"/>
      <c r="AH202" s="27"/>
      <c r="AI202" s="27"/>
      <c r="AN202" s="58"/>
      <c r="AO202" s="58"/>
      <c r="AP202" s="58"/>
    </row>
    <row r="203" spans="1:42">
      <c r="A203" s="290">
        <v>41</v>
      </c>
      <c r="B203" s="288" t="s">
        <v>779</v>
      </c>
      <c r="C203" s="288" t="s">
        <v>754</v>
      </c>
      <c r="D203" s="288" t="s">
        <v>755</v>
      </c>
      <c r="E203" s="288"/>
      <c r="F203" s="288"/>
      <c r="G203" s="288"/>
      <c r="H203" s="288"/>
      <c r="I203" s="305"/>
      <c r="J203" s="305"/>
      <c r="K203" s="305"/>
      <c r="L203" s="306"/>
      <c r="M203" s="305"/>
      <c r="N203" s="305"/>
      <c r="O203" s="305"/>
      <c r="P203" s="288" t="s">
        <v>780</v>
      </c>
      <c r="Q203" s="288" t="s">
        <v>779</v>
      </c>
      <c r="R203" s="302">
        <v>1.5676635966133333E-3</v>
      </c>
      <c r="S203" s="302">
        <v>7.7472873595999994E-3</v>
      </c>
      <c r="T203" s="302">
        <v>4.8971999999999998</v>
      </c>
      <c r="U203" s="302">
        <v>7.7344115366430246E-4</v>
      </c>
      <c r="V203" s="48"/>
      <c r="W203" s="18"/>
      <c r="X203" s="19"/>
      <c r="Y203" s="20"/>
      <c r="Z203" s="20"/>
      <c r="AA203" s="21"/>
      <c r="AB203" s="22"/>
      <c r="AH203" s="27"/>
      <c r="AI203" s="27"/>
      <c r="AN203" s="58"/>
      <c r="AO203" s="58"/>
      <c r="AP203" s="58"/>
    </row>
    <row r="204" spans="1:42">
      <c r="A204" s="288">
        <v>42</v>
      </c>
      <c r="B204" s="288" t="s">
        <v>781</v>
      </c>
      <c r="C204" s="288" t="s">
        <v>754</v>
      </c>
      <c r="D204" s="288" t="s">
        <v>755</v>
      </c>
      <c r="E204" s="288" t="s">
        <v>252</v>
      </c>
      <c r="F204" s="288" t="s">
        <v>174</v>
      </c>
      <c r="G204" s="288" t="s">
        <v>200</v>
      </c>
      <c r="H204" s="288"/>
      <c r="I204" s="305">
        <v>2.0262392565709405E-4</v>
      </c>
      <c r="J204" s="305">
        <v>1.0885928720785719E-2</v>
      </c>
      <c r="K204" s="305">
        <v>6.2837933649623454E-6</v>
      </c>
      <c r="L204" s="306">
        <v>0</v>
      </c>
      <c r="M204" s="305">
        <f t="shared" ref="M204:M205" si="57">L204/1000</f>
        <v>0</v>
      </c>
      <c r="N204" s="305">
        <v>1.962715705E-2</v>
      </c>
      <c r="O204" s="305">
        <v>4.6142098112569087E-5</v>
      </c>
      <c r="P204" s="288" t="s">
        <v>782</v>
      </c>
      <c r="Q204" s="288" t="s">
        <v>781</v>
      </c>
      <c r="R204" s="302">
        <v>2.0262392565709405E-4</v>
      </c>
      <c r="S204" s="302">
        <v>1.0885928720785719E-2</v>
      </c>
      <c r="T204" s="302">
        <v>1.962715705E-2</v>
      </c>
      <c r="U204" s="302">
        <v>4.6142098112569087E-5</v>
      </c>
      <c r="V204" s="48"/>
      <c r="W204" s="18"/>
      <c r="X204" s="19"/>
      <c r="Y204" s="20"/>
      <c r="Z204" s="20"/>
      <c r="AA204" s="21"/>
      <c r="AB204" s="22"/>
      <c r="AH204" s="27"/>
      <c r="AI204" s="27"/>
      <c r="AN204" s="58"/>
      <c r="AO204" s="58"/>
      <c r="AP204" s="58"/>
    </row>
    <row r="205" spans="1:42">
      <c r="A205" s="288">
        <v>43</v>
      </c>
      <c r="B205" s="288" t="s">
        <v>783</v>
      </c>
      <c r="C205" s="288" t="s">
        <v>754</v>
      </c>
      <c r="D205" s="288" t="s">
        <v>755</v>
      </c>
      <c r="E205" s="288" t="s">
        <v>174</v>
      </c>
      <c r="F205" s="288" t="s">
        <v>174</v>
      </c>
      <c r="G205" s="288" t="s">
        <v>784</v>
      </c>
      <c r="H205" s="288"/>
      <c r="I205" s="305">
        <v>0</v>
      </c>
      <c r="J205" s="305">
        <v>0</v>
      </c>
      <c r="K205" s="305">
        <v>0</v>
      </c>
      <c r="L205" s="306">
        <v>0</v>
      </c>
      <c r="M205" s="305">
        <f t="shared" si="57"/>
        <v>0</v>
      </c>
      <c r="N205" s="305">
        <f>L205/1000</f>
        <v>0</v>
      </c>
      <c r="O205" s="305">
        <v>0</v>
      </c>
      <c r="P205" s="288" t="s">
        <v>785</v>
      </c>
      <c r="Q205" s="288" t="s">
        <v>783</v>
      </c>
      <c r="R205" s="302">
        <v>0</v>
      </c>
      <c r="S205" s="302">
        <v>0</v>
      </c>
      <c r="T205" s="302">
        <v>0</v>
      </c>
      <c r="U205" s="302">
        <v>0</v>
      </c>
      <c r="V205" s="48"/>
      <c r="W205" s="18"/>
      <c r="X205" s="19"/>
      <c r="Y205" s="20"/>
      <c r="Z205" s="20"/>
      <c r="AA205" s="21"/>
      <c r="AB205" s="22"/>
      <c r="AH205" s="27"/>
      <c r="AI205" s="27"/>
      <c r="AN205" s="58"/>
      <c r="AO205" s="58"/>
      <c r="AP205" s="58"/>
    </row>
    <row r="206" spans="1:42">
      <c r="A206" s="288">
        <v>44</v>
      </c>
      <c r="B206" s="288" t="s">
        <v>786</v>
      </c>
      <c r="C206" s="288" t="s">
        <v>754</v>
      </c>
      <c r="D206" s="288" t="s">
        <v>755</v>
      </c>
      <c r="E206" s="288"/>
      <c r="F206" s="288"/>
      <c r="G206" s="288"/>
      <c r="H206" s="288"/>
      <c r="I206" s="305"/>
      <c r="J206" s="305"/>
      <c r="K206" s="305"/>
      <c r="L206" s="306"/>
      <c r="M206" s="305"/>
      <c r="N206" s="305"/>
      <c r="O206" s="305"/>
      <c r="P206" s="288" t="s">
        <v>787</v>
      </c>
      <c r="Q206" s="288" t="s">
        <v>786</v>
      </c>
      <c r="R206" s="302">
        <v>4.4833010078515426E-3</v>
      </c>
      <c r="S206" s="302">
        <v>3.78E-2</v>
      </c>
      <c r="T206" s="315">
        <f>87/1000</f>
        <v>8.6999999999999994E-2</v>
      </c>
      <c r="U206" s="302">
        <v>1.8000000000000001E-4</v>
      </c>
      <c r="V206" s="48"/>
      <c r="W206" s="18"/>
      <c r="X206" s="19"/>
      <c r="Y206" s="20"/>
      <c r="Z206" s="20"/>
      <c r="AA206" s="21"/>
      <c r="AB206" s="22"/>
      <c r="AH206" s="27"/>
      <c r="AI206" s="27"/>
      <c r="AN206" s="58"/>
      <c r="AO206" s="58"/>
      <c r="AP206" s="58"/>
    </row>
    <row r="207" spans="1:42">
      <c r="A207" s="288">
        <v>187</v>
      </c>
      <c r="B207" s="288" t="s">
        <v>788</v>
      </c>
      <c r="C207" s="289" t="s">
        <v>156</v>
      </c>
      <c r="D207" s="312" t="s">
        <v>156</v>
      </c>
      <c r="E207" s="288" t="s">
        <v>158</v>
      </c>
      <c r="F207" s="289" t="s">
        <v>159</v>
      </c>
      <c r="G207" s="288" t="s">
        <v>160</v>
      </c>
      <c r="H207" s="288"/>
      <c r="I207" s="304">
        <v>1.4051129032258063E-2</v>
      </c>
      <c r="J207" s="305">
        <v>0.11450467741935483</v>
      </c>
      <c r="K207" s="305">
        <v>4.9811080645161291E-4</v>
      </c>
      <c r="L207" s="306">
        <v>1881</v>
      </c>
      <c r="M207" s="305">
        <f t="shared" ref="M207:M210" si="58">L207/1000</f>
        <v>1.881</v>
      </c>
      <c r="N207" s="305">
        <v>2.1085403230000002</v>
      </c>
      <c r="O207" s="307">
        <v>6.0449379263103585E-3</v>
      </c>
      <c r="P207" s="289" t="s">
        <v>789</v>
      </c>
      <c r="Q207" s="288" t="s">
        <v>788</v>
      </c>
      <c r="R207" s="302">
        <v>1.4051129032258063E-2</v>
      </c>
      <c r="S207" s="302">
        <v>0.11450467741935483</v>
      </c>
      <c r="T207" s="302">
        <v>2.7064748201438853</v>
      </c>
      <c r="U207" s="302">
        <v>6.0449379263103585E-3</v>
      </c>
      <c r="V207" s="17"/>
      <c r="W207" s="18"/>
      <c r="X207" s="19"/>
      <c r="Y207" s="20"/>
      <c r="Z207" s="20"/>
      <c r="AA207" s="21"/>
      <c r="AB207" s="22"/>
      <c r="AH207" s="27"/>
      <c r="AI207" s="27"/>
      <c r="AN207" s="58"/>
      <c r="AO207" s="58"/>
      <c r="AP207" s="58"/>
    </row>
    <row r="208" spans="1:42">
      <c r="A208" s="288">
        <v>188</v>
      </c>
      <c r="B208" s="288" t="s">
        <v>790</v>
      </c>
      <c r="C208" s="289" t="s">
        <v>156</v>
      </c>
      <c r="D208" s="312" t="s">
        <v>156</v>
      </c>
      <c r="E208" s="288" t="s">
        <v>158</v>
      </c>
      <c r="F208" s="289" t="s">
        <v>159</v>
      </c>
      <c r="G208" s="288" t="s">
        <v>160</v>
      </c>
      <c r="H208" s="288"/>
      <c r="I208" s="304">
        <v>1.2534820143884892E-2</v>
      </c>
      <c r="J208" s="305">
        <v>0.10214805755395684</v>
      </c>
      <c r="K208" s="305">
        <v>4.4435784172661873E-4</v>
      </c>
      <c r="L208" s="306">
        <v>1881</v>
      </c>
      <c r="M208" s="305">
        <f t="shared" si="58"/>
        <v>1.881</v>
      </c>
      <c r="N208" s="305">
        <f t="shared" ref="N208:N210" si="59">L208/1000</f>
        <v>1.881</v>
      </c>
      <c r="O208" s="307">
        <v>5.3926064954135577E-3</v>
      </c>
      <c r="P208" s="289" t="s">
        <v>791</v>
      </c>
      <c r="Q208" s="288" t="s">
        <v>790</v>
      </c>
      <c r="R208" s="302">
        <v>1.2534820143884892E-2</v>
      </c>
      <c r="S208" s="302">
        <v>0.10214805755395684</v>
      </c>
      <c r="T208" s="302">
        <v>2.7064748201438853</v>
      </c>
      <c r="U208" s="302">
        <v>5.3926064954135577E-3</v>
      </c>
      <c r="V208" s="17"/>
      <c r="W208" s="18"/>
      <c r="X208" s="19"/>
      <c r="Y208" s="20"/>
      <c r="Z208" s="20"/>
      <c r="AA208" s="21"/>
      <c r="AB208" s="22"/>
      <c r="AH208" s="27"/>
      <c r="AI208" s="27"/>
      <c r="AN208" s="58"/>
      <c r="AO208" s="58"/>
      <c r="AP208" s="58"/>
    </row>
    <row r="209" spans="1:42">
      <c r="A209" s="290">
        <v>189</v>
      </c>
      <c r="B209" s="288" t="s">
        <v>792</v>
      </c>
      <c r="C209" s="289" t="s">
        <v>156</v>
      </c>
      <c r="D209" s="312" t="s">
        <v>156</v>
      </c>
      <c r="E209" s="288" t="s">
        <v>158</v>
      </c>
      <c r="F209" s="289" t="s">
        <v>159</v>
      </c>
      <c r="G209" s="288" t="s">
        <v>160</v>
      </c>
      <c r="H209" s="288"/>
      <c r="I209" s="304">
        <v>1.2534820143884892E-2</v>
      </c>
      <c r="J209" s="305">
        <v>0.10214805755395684</v>
      </c>
      <c r="K209" s="305">
        <v>4.4435784172661873E-4</v>
      </c>
      <c r="L209" s="306">
        <v>1881</v>
      </c>
      <c r="M209" s="305">
        <f t="shared" si="58"/>
        <v>1.881</v>
      </c>
      <c r="N209" s="305">
        <f t="shared" si="59"/>
        <v>1.881</v>
      </c>
      <c r="O209" s="307">
        <v>5.3926064954135577E-3</v>
      </c>
      <c r="P209" s="289" t="s">
        <v>793</v>
      </c>
      <c r="Q209" s="288" t="s">
        <v>792</v>
      </c>
      <c r="R209" s="302">
        <v>1.2534820143884892E-2</v>
      </c>
      <c r="S209" s="302">
        <v>0.10214805755395684</v>
      </c>
      <c r="T209" s="302">
        <v>3.0338709677419358</v>
      </c>
      <c r="U209" s="302">
        <v>5.3926064954135577E-3</v>
      </c>
      <c r="V209" s="17"/>
      <c r="W209" s="18"/>
      <c r="X209" s="19"/>
      <c r="Y209" s="20"/>
      <c r="Z209" s="20"/>
      <c r="AA209" s="21"/>
      <c r="AB209" s="22"/>
      <c r="AH209" s="27"/>
      <c r="AI209" s="27"/>
      <c r="AN209" s="58"/>
      <c r="AO209" s="58"/>
      <c r="AP209" s="58"/>
    </row>
    <row r="210" spans="1:42">
      <c r="A210" s="288">
        <v>190</v>
      </c>
      <c r="B210" s="288" t="s">
        <v>794</v>
      </c>
      <c r="C210" s="289" t="s">
        <v>156</v>
      </c>
      <c r="D210" s="312" t="s">
        <v>156</v>
      </c>
      <c r="E210" s="288" t="s">
        <v>795</v>
      </c>
      <c r="F210" s="288"/>
      <c r="G210" s="288" t="s">
        <v>796</v>
      </c>
      <c r="H210" s="288"/>
      <c r="I210" s="304">
        <v>1.284515625E-2</v>
      </c>
      <c r="J210" s="305">
        <v>0.10467703125</v>
      </c>
      <c r="K210" s="305">
        <v>4.5535921875000006E-4</v>
      </c>
      <c r="L210" s="306">
        <v>1862</v>
      </c>
      <c r="M210" s="305">
        <f t="shared" si="58"/>
        <v>1.8620000000000001</v>
      </c>
      <c r="N210" s="305">
        <f t="shared" si="59"/>
        <v>1.8620000000000001</v>
      </c>
      <c r="O210" s="307">
        <v>7.1653738381629306E-3</v>
      </c>
      <c r="P210" s="289" t="s">
        <v>797</v>
      </c>
      <c r="Q210" s="288" t="s">
        <v>794</v>
      </c>
      <c r="R210" s="302">
        <v>1.284515625E-2</v>
      </c>
      <c r="S210" s="302">
        <v>0.10467703125</v>
      </c>
      <c r="T210" s="302">
        <v>2.9093750000000003</v>
      </c>
      <c r="U210" s="302">
        <v>7.1653738381629306E-3</v>
      </c>
      <c r="V210" s="48"/>
      <c r="W210" s="18"/>
      <c r="X210" s="19"/>
      <c r="Y210" s="20"/>
      <c r="Z210" s="20"/>
      <c r="AA210" s="21"/>
      <c r="AB210" s="22"/>
      <c r="AH210" s="27"/>
      <c r="AI210" s="27"/>
      <c r="AN210" s="58"/>
      <c r="AO210" s="58"/>
      <c r="AP210" s="58"/>
    </row>
    <row r="211" spans="1:42">
      <c r="A211" s="290">
        <v>191</v>
      </c>
      <c r="B211" s="288" t="s">
        <v>798</v>
      </c>
      <c r="C211" s="289" t="s">
        <v>156</v>
      </c>
      <c r="D211" s="312" t="s">
        <v>156</v>
      </c>
      <c r="E211" s="288"/>
      <c r="F211" s="288"/>
      <c r="G211" s="288"/>
      <c r="H211" s="288"/>
      <c r="I211" s="304"/>
      <c r="J211" s="305"/>
      <c r="K211" s="305"/>
      <c r="L211" s="306"/>
      <c r="M211" s="305"/>
      <c r="N211" s="305"/>
      <c r="O211" s="307"/>
      <c r="P211" s="289" t="s">
        <v>799</v>
      </c>
      <c r="Q211" s="288" t="s">
        <v>798</v>
      </c>
      <c r="R211" s="302">
        <v>2.6807282608695655E-2</v>
      </c>
      <c r="S211" s="302">
        <v>0.21845641304347826</v>
      </c>
      <c r="T211" s="302">
        <v>6.071739130434783</v>
      </c>
      <c r="U211" s="302">
        <v>1.4953823662253075E-2</v>
      </c>
      <c r="V211" s="48"/>
      <c r="W211" s="37" t="s">
        <v>233</v>
      </c>
      <c r="X211" s="19">
        <f t="shared" ref="X211:AA211" si="60">AVERAGE(R207:R211)</f>
        <v>1.57546416357447E-2</v>
      </c>
      <c r="Y211" s="20">
        <f t="shared" si="60"/>
        <v>0.12838684736414935</v>
      </c>
      <c r="Z211" s="20">
        <f t="shared" si="60"/>
        <v>3.485586947692898</v>
      </c>
      <c r="AA211" s="21">
        <f t="shared" si="60"/>
        <v>7.7898696835106956E-3</v>
      </c>
      <c r="AB211" s="22"/>
      <c r="AH211" s="27"/>
      <c r="AI211" s="27"/>
      <c r="AN211" s="58"/>
      <c r="AO211" s="58"/>
      <c r="AP211" s="58"/>
    </row>
    <row r="212" spans="1:42">
      <c r="A212" s="288">
        <v>192</v>
      </c>
      <c r="B212" s="288" t="s">
        <v>800</v>
      </c>
      <c r="C212" s="288" t="s">
        <v>164</v>
      </c>
      <c r="D212" s="313" t="s">
        <v>801</v>
      </c>
      <c r="E212" s="288" t="s">
        <v>802</v>
      </c>
      <c r="F212" s="288" t="s">
        <v>803</v>
      </c>
      <c r="G212" s="303" t="s">
        <v>200</v>
      </c>
      <c r="H212" s="288"/>
      <c r="I212" s="304">
        <v>6.4492173908743997E-2</v>
      </c>
      <c r="J212" s="305">
        <v>0.52574608692147207</v>
      </c>
      <c r="K212" s="305">
        <v>2.2871426085431757E-3</v>
      </c>
      <c r="L212" s="306" t="s">
        <v>177</v>
      </c>
      <c r="M212" s="305" t="s">
        <v>177</v>
      </c>
      <c r="N212" s="305">
        <v>8.3938726559999992</v>
      </c>
      <c r="O212" s="307">
        <v>1.782870183160197E-2</v>
      </c>
      <c r="P212" s="288" t="s">
        <v>804</v>
      </c>
      <c r="Q212" s="288" t="s">
        <v>800</v>
      </c>
      <c r="R212" s="302">
        <v>6.4492173908743997E-2</v>
      </c>
      <c r="S212" s="302">
        <v>0.52574608692147207</v>
      </c>
      <c r="T212" s="302">
        <v>6.1173913039399999</v>
      </c>
      <c r="U212" s="302">
        <v>1.782870183160197E-2</v>
      </c>
      <c r="V212" s="48"/>
      <c r="W212" s="18"/>
      <c r="X212" s="19"/>
      <c r="Y212" s="20"/>
      <c r="Z212" s="20"/>
      <c r="AA212" s="21"/>
      <c r="AB212" s="22"/>
      <c r="AH212" s="27"/>
      <c r="AI212" s="27"/>
      <c r="AN212" s="58"/>
      <c r="AO212" s="58"/>
      <c r="AP212" s="58"/>
    </row>
    <row r="213" spans="1:42">
      <c r="A213" s="288">
        <v>193</v>
      </c>
      <c r="B213" s="288" t="s">
        <v>805</v>
      </c>
      <c r="C213" s="288" t="s">
        <v>164</v>
      </c>
      <c r="D213" s="313" t="s">
        <v>801</v>
      </c>
      <c r="E213" s="288"/>
      <c r="F213" s="288"/>
      <c r="G213" s="288" t="s">
        <v>806</v>
      </c>
      <c r="H213" s="288"/>
      <c r="I213" s="304">
        <v>0.35098207049486463</v>
      </c>
      <c r="J213" s="305">
        <v>0.49179687675070033</v>
      </c>
      <c r="K213" s="305">
        <v>4.1794555999066299E-3</v>
      </c>
      <c r="L213" s="306" t="s">
        <v>177</v>
      </c>
      <c r="M213" s="305" t="s">
        <v>177</v>
      </c>
      <c r="N213" s="305">
        <v>10.377765</v>
      </c>
      <c r="O213" s="307">
        <v>1.8017812838346036E-2</v>
      </c>
      <c r="P213" s="288" t="s">
        <v>807</v>
      </c>
      <c r="Q213" s="288" t="s">
        <v>805</v>
      </c>
      <c r="R213" s="302">
        <v>0.35098207049486463</v>
      </c>
      <c r="S213" s="302">
        <v>0.49179687675070033</v>
      </c>
      <c r="T213" s="302">
        <v>9.0659197012138186</v>
      </c>
      <c r="U213" s="302">
        <v>1.8017812838346036E-2</v>
      </c>
      <c r="V213" s="17"/>
      <c r="W213" s="18"/>
      <c r="X213" s="19"/>
      <c r="Y213" s="20"/>
      <c r="Z213" s="20"/>
      <c r="AA213" s="21"/>
      <c r="AB213" s="22"/>
      <c r="AH213" s="27"/>
      <c r="AI213" s="27"/>
      <c r="AN213" s="58"/>
      <c r="AO213" s="58"/>
      <c r="AP213" s="58"/>
    </row>
    <row r="214" spans="1:42">
      <c r="A214" s="288">
        <v>194</v>
      </c>
      <c r="B214" s="288" t="s">
        <v>808</v>
      </c>
      <c r="C214" s="288" t="s">
        <v>164</v>
      </c>
      <c r="D214" s="313" t="s">
        <v>801</v>
      </c>
      <c r="E214" s="288"/>
      <c r="F214" s="288"/>
      <c r="G214" s="288" t="s">
        <v>806</v>
      </c>
      <c r="H214" s="288"/>
      <c r="I214" s="304">
        <v>0.35098207049486463</v>
      </c>
      <c r="J214" s="305">
        <v>0.49179687675070033</v>
      </c>
      <c r="K214" s="305">
        <v>4.1794555999066299E-3</v>
      </c>
      <c r="L214" s="306" t="s">
        <v>177</v>
      </c>
      <c r="M214" s="305" t="s">
        <v>177</v>
      </c>
      <c r="N214" s="305">
        <v>10.377765</v>
      </c>
      <c r="O214" s="307">
        <v>1.8017812838346036E-2</v>
      </c>
      <c r="P214" s="288" t="s">
        <v>809</v>
      </c>
      <c r="Q214" s="288" t="s">
        <v>808</v>
      </c>
      <c r="R214" s="302">
        <v>0.35098207049486463</v>
      </c>
      <c r="S214" s="302">
        <v>0.49179687675070033</v>
      </c>
      <c r="T214" s="302">
        <v>9.0659197012138186</v>
      </c>
      <c r="U214" s="302">
        <v>1.8017812838346036E-2</v>
      </c>
      <c r="V214" s="17"/>
      <c r="W214" s="18"/>
      <c r="X214" s="19"/>
      <c r="Y214" s="20"/>
      <c r="Z214" s="20"/>
      <c r="AA214" s="21"/>
      <c r="AB214" s="22"/>
      <c r="AH214" s="27"/>
      <c r="AI214" s="27"/>
      <c r="AN214" s="58"/>
      <c r="AO214" s="58"/>
      <c r="AP214" s="58"/>
    </row>
    <row r="215" spans="1:42">
      <c r="A215" s="290">
        <v>195</v>
      </c>
      <c r="B215" s="288" t="s">
        <v>810</v>
      </c>
      <c r="C215" s="288" t="s">
        <v>164</v>
      </c>
      <c r="D215" s="313" t="s">
        <v>801</v>
      </c>
      <c r="E215" s="288" t="s">
        <v>811</v>
      </c>
      <c r="F215" s="288" t="s">
        <v>812</v>
      </c>
      <c r="G215" s="288" t="s">
        <v>813</v>
      </c>
      <c r="H215" s="288"/>
      <c r="I215" s="304">
        <v>0.53951072463768124</v>
      </c>
      <c r="J215" s="305">
        <v>0.64725826086956539</v>
      </c>
      <c r="K215" s="305">
        <v>6.0451263768115954E-3</v>
      </c>
      <c r="L215" s="306">
        <v>9685</v>
      </c>
      <c r="M215" s="305">
        <f t="shared" ref="M215:M219" si="61">L215/1000</f>
        <v>9.6850000000000005</v>
      </c>
      <c r="N215" s="305">
        <v>14.33247396</v>
      </c>
      <c r="O215" s="307">
        <v>2.5560862842710468E-2</v>
      </c>
      <c r="P215" s="288" t="s">
        <v>814</v>
      </c>
      <c r="Q215" s="288" t="s">
        <v>810</v>
      </c>
      <c r="R215" s="302">
        <v>0.53951072463768124</v>
      </c>
      <c r="S215" s="302">
        <v>0.64725826086956539</v>
      </c>
      <c r="T215" s="315">
        <v>14.036231884057974</v>
      </c>
      <c r="U215" s="302">
        <v>2.5560862842710468E-2</v>
      </c>
      <c r="V215" s="17"/>
      <c r="W215" s="18"/>
      <c r="X215" s="19"/>
      <c r="Y215" s="20"/>
      <c r="Z215" s="20"/>
      <c r="AA215" s="21"/>
      <c r="AB215" s="22"/>
      <c r="AH215" s="27"/>
      <c r="AI215" s="27"/>
      <c r="AN215" s="58"/>
      <c r="AO215" s="58"/>
      <c r="AP215" s="58"/>
    </row>
    <row r="216" spans="1:42">
      <c r="A216" s="288">
        <v>196</v>
      </c>
      <c r="B216" s="289" t="s">
        <v>815</v>
      </c>
      <c r="C216" s="288" t="s">
        <v>164</v>
      </c>
      <c r="D216" s="313" t="s">
        <v>801</v>
      </c>
      <c r="E216" s="288" t="s">
        <v>811</v>
      </c>
      <c r="F216" s="288" t="s">
        <v>812</v>
      </c>
      <c r="G216" s="288" t="s">
        <v>813</v>
      </c>
      <c r="H216" s="288"/>
      <c r="I216" s="304">
        <v>0.68162031746031748</v>
      </c>
      <c r="J216" s="305">
        <v>0.81774904761904776</v>
      </c>
      <c r="K216" s="305">
        <v>7.6374403174603181E-3</v>
      </c>
      <c r="L216" s="306">
        <v>9685</v>
      </c>
      <c r="M216" s="305">
        <f t="shared" si="61"/>
        <v>9.6850000000000005</v>
      </c>
      <c r="N216" s="305">
        <v>18.107713169019704</v>
      </c>
      <c r="O216" s="307">
        <v>2.7995230732492413E-2</v>
      </c>
      <c r="P216" s="288" t="s">
        <v>816</v>
      </c>
      <c r="Q216" s="289" t="s">
        <v>815</v>
      </c>
      <c r="R216" s="302">
        <v>0.68162031746031748</v>
      </c>
      <c r="S216" s="302">
        <v>0.81774904761904776</v>
      </c>
      <c r="T216" s="315">
        <v>15.373015873015873</v>
      </c>
      <c r="U216" s="302">
        <v>2.7995230732492413E-2</v>
      </c>
      <c r="V216" s="17"/>
      <c r="W216" s="37"/>
      <c r="X216" s="19"/>
      <c r="Y216" s="20"/>
      <c r="Z216" s="20"/>
      <c r="AA216" s="21"/>
      <c r="AB216" s="22"/>
      <c r="AH216" s="27"/>
      <c r="AI216" s="27"/>
      <c r="AN216" s="58"/>
      <c r="AO216" s="58"/>
      <c r="AP216" s="58"/>
    </row>
    <row r="217" spans="1:42">
      <c r="A217" s="288">
        <v>197</v>
      </c>
      <c r="B217" s="289" t="s">
        <v>817</v>
      </c>
      <c r="C217" s="288" t="s">
        <v>164</v>
      </c>
      <c r="D217" s="313" t="s">
        <v>801</v>
      </c>
      <c r="E217" s="288" t="s">
        <v>811</v>
      </c>
      <c r="F217" s="288" t="s">
        <v>812</v>
      </c>
      <c r="G217" s="288" t="s">
        <v>813</v>
      </c>
      <c r="H217" s="288"/>
      <c r="I217" s="304">
        <v>0.53951072463768124</v>
      </c>
      <c r="J217" s="305">
        <v>0.64725826086956539</v>
      </c>
      <c r="K217" s="305">
        <v>6.0451263768115954E-3</v>
      </c>
      <c r="L217" s="306">
        <v>9685</v>
      </c>
      <c r="M217" s="305">
        <f t="shared" si="61"/>
        <v>9.6850000000000005</v>
      </c>
      <c r="N217" s="305">
        <v>14.332473964023015</v>
      </c>
      <c r="O217" s="307">
        <v>2.5560862842710468E-2</v>
      </c>
      <c r="P217" s="288" t="s">
        <v>818</v>
      </c>
      <c r="Q217" s="289" t="s">
        <v>817</v>
      </c>
      <c r="R217" s="302">
        <v>0.53951072463768124</v>
      </c>
      <c r="S217" s="302">
        <v>0.64725826086956539</v>
      </c>
      <c r="T217" s="315">
        <v>14.036231884057974</v>
      </c>
      <c r="U217" s="302">
        <v>2.5560862842710468E-2</v>
      </c>
      <c r="V217" s="17"/>
      <c r="W217" s="18"/>
      <c r="X217" s="19"/>
      <c r="Y217" s="20"/>
      <c r="Z217" s="20"/>
      <c r="AA217" s="21"/>
      <c r="AB217" s="22"/>
      <c r="AH217" s="27"/>
      <c r="AI217" s="27"/>
      <c r="AN217" s="58"/>
      <c r="AO217" s="58"/>
      <c r="AP217" s="58"/>
    </row>
    <row r="218" spans="1:42">
      <c r="A218" s="288">
        <v>198</v>
      </c>
      <c r="B218" s="288" t="s">
        <v>819</v>
      </c>
      <c r="C218" s="288" t="s">
        <v>164</v>
      </c>
      <c r="D218" s="313" t="s">
        <v>801</v>
      </c>
      <c r="E218" s="288" t="s">
        <v>811</v>
      </c>
      <c r="F218" s="288" t="s">
        <v>812</v>
      </c>
      <c r="G218" s="288" t="s">
        <v>813</v>
      </c>
      <c r="H218" s="288"/>
      <c r="I218" s="304">
        <v>0.27103561643835616</v>
      </c>
      <c r="J218" s="305">
        <v>0.32516506849315069</v>
      </c>
      <c r="K218" s="305">
        <v>3.0369082191780824E-3</v>
      </c>
      <c r="L218" s="306">
        <v>9685</v>
      </c>
      <c r="M218" s="305">
        <f t="shared" si="61"/>
        <v>9.6850000000000005</v>
      </c>
      <c r="N218" s="305">
        <v>7.2002478139999999</v>
      </c>
      <c r="O218" s="307">
        <v>2.4160267618452354E-2</v>
      </c>
      <c r="P218" s="288" t="s">
        <v>820</v>
      </c>
      <c r="Q218" s="288" t="s">
        <v>819</v>
      </c>
      <c r="R218" s="302">
        <v>0.27103561643835616</v>
      </c>
      <c r="S218" s="302">
        <v>0.32516506849315069</v>
      </c>
      <c r="T218" s="315">
        <v>13.267123287671232</v>
      </c>
      <c r="U218" s="302">
        <v>2.4160267618452354E-2</v>
      </c>
      <c r="V218" s="17"/>
      <c r="W218" s="18"/>
      <c r="X218" s="19"/>
      <c r="Y218" s="20"/>
      <c r="Z218" s="20"/>
      <c r="AA218" s="21"/>
      <c r="AB218" s="22"/>
      <c r="AH218" s="27"/>
      <c r="AI218" s="27"/>
      <c r="AN218" s="58"/>
      <c r="AO218" s="58"/>
      <c r="AP218" s="58"/>
    </row>
    <row r="219" spans="1:42">
      <c r="A219" s="290">
        <v>199</v>
      </c>
      <c r="B219" s="289" t="s">
        <v>821</v>
      </c>
      <c r="C219" s="288" t="s">
        <v>164</v>
      </c>
      <c r="D219" s="313" t="s">
        <v>801</v>
      </c>
      <c r="E219" s="288" t="s">
        <v>811</v>
      </c>
      <c r="F219" s="288" t="s">
        <v>812</v>
      </c>
      <c r="G219" s="288" t="s">
        <v>813</v>
      </c>
      <c r="H219" s="288"/>
      <c r="I219" s="304">
        <v>0.364568</v>
      </c>
      <c r="J219" s="305">
        <v>0.43737712500000003</v>
      </c>
      <c r="K219" s="305">
        <v>4.0849227500000009E-3</v>
      </c>
      <c r="L219" s="306">
        <v>9685</v>
      </c>
      <c r="M219" s="305">
        <f t="shared" si="61"/>
        <v>9.6850000000000005</v>
      </c>
      <c r="N219" s="305">
        <f>L219/1000</f>
        <v>9.6850000000000005</v>
      </c>
      <c r="O219" s="307">
        <v>2.2046244201837775E-2</v>
      </c>
      <c r="P219" s="288" t="s">
        <v>822</v>
      </c>
      <c r="Q219" s="289" t="s">
        <v>821</v>
      </c>
      <c r="R219" s="302">
        <v>0.364568</v>
      </c>
      <c r="S219" s="302">
        <v>0.43737712500000003</v>
      </c>
      <c r="T219" s="315">
        <v>12.106250000000001</v>
      </c>
      <c r="U219" s="302">
        <v>2.2046244201837775E-2</v>
      </c>
      <c r="V219" s="17"/>
      <c r="W219" s="18"/>
      <c r="X219" s="19"/>
      <c r="Y219" s="20"/>
      <c r="Z219" s="20"/>
      <c r="AA219" s="21"/>
      <c r="AB219" s="22"/>
      <c r="AH219" s="27"/>
      <c r="AI219" s="27"/>
      <c r="AN219" s="58"/>
      <c r="AO219" s="58"/>
      <c r="AP219" s="58"/>
    </row>
    <row r="220" spans="1:42">
      <c r="A220" s="288">
        <v>200</v>
      </c>
      <c r="B220" s="303" t="s">
        <v>823</v>
      </c>
      <c r="C220" s="288" t="s">
        <v>164</v>
      </c>
      <c r="D220" s="313" t="s">
        <v>801</v>
      </c>
      <c r="E220" s="288"/>
      <c r="F220" s="288"/>
      <c r="G220" s="288"/>
      <c r="H220" s="288"/>
      <c r="I220" s="304"/>
      <c r="J220" s="305"/>
      <c r="K220" s="305"/>
      <c r="L220" s="306"/>
      <c r="M220" s="305"/>
      <c r="N220" s="305"/>
      <c r="O220" s="307"/>
      <c r="P220" s="288" t="s">
        <v>824</v>
      </c>
      <c r="Q220" s="303" t="s">
        <v>823</v>
      </c>
      <c r="R220" s="302">
        <v>0.44539012987012988</v>
      </c>
      <c r="S220" s="302">
        <v>0.53434051948051953</v>
      </c>
      <c r="T220" s="315">
        <v>12.577922077922079</v>
      </c>
      <c r="U220" s="302">
        <v>2.2905188781130157E-2</v>
      </c>
      <c r="V220" s="17"/>
      <c r="W220" s="18"/>
      <c r="X220" s="19"/>
      <c r="Y220" s="20"/>
      <c r="Z220" s="20"/>
      <c r="AA220" s="21"/>
      <c r="AB220" s="22"/>
      <c r="AH220" s="27"/>
      <c r="AI220" s="27"/>
      <c r="AN220" s="58"/>
      <c r="AO220" s="58"/>
      <c r="AP220" s="58"/>
    </row>
    <row r="221" spans="1:42">
      <c r="A221" s="290">
        <v>201</v>
      </c>
      <c r="B221" s="288" t="s">
        <v>825</v>
      </c>
      <c r="C221" s="288" t="s">
        <v>164</v>
      </c>
      <c r="D221" s="313" t="s">
        <v>801</v>
      </c>
      <c r="E221" s="288"/>
      <c r="F221" s="288"/>
      <c r="G221" s="288"/>
      <c r="H221" s="288"/>
      <c r="I221" s="304"/>
      <c r="J221" s="305"/>
      <c r="K221" s="305"/>
      <c r="L221" s="306"/>
      <c r="M221" s="305"/>
      <c r="N221" s="305"/>
      <c r="O221" s="307"/>
      <c r="P221" s="288" t="s">
        <v>826</v>
      </c>
      <c r="Q221" s="288" t="s">
        <v>825</v>
      </c>
      <c r="R221" s="302">
        <v>0.50223609756097565</v>
      </c>
      <c r="S221" s="302">
        <v>0.60253939024390246</v>
      </c>
      <c r="T221" s="315">
        <v>11.810975609756097</v>
      </c>
      <c r="U221" s="302">
        <v>2.1508530928622219E-2</v>
      </c>
      <c r="V221" s="17"/>
      <c r="W221" s="18"/>
      <c r="X221" s="19"/>
      <c r="Y221" s="20"/>
      <c r="Z221" s="20"/>
      <c r="AA221" s="21"/>
      <c r="AB221" s="22"/>
      <c r="AH221" s="27"/>
      <c r="AI221" s="27"/>
      <c r="AN221" s="58"/>
      <c r="AO221" s="58"/>
      <c r="AP221" s="58"/>
    </row>
    <row r="222" spans="1:42">
      <c r="A222" s="288">
        <v>202</v>
      </c>
      <c r="B222" s="289" t="s">
        <v>827</v>
      </c>
      <c r="C222" s="288" t="s">
        <v>164</v>
      </c>
      <c r="D222" s="313" t="s">
        <v>801</v>
      </c>
      <c r="E222" s="288"/>
      <c r="F222" s="288"/>
      <c r="G222" s="288"/>
      <c r="H222" s="288"/>
      <c r="I222" s="304"/>
      <c r="J222" s="305"/>
      <c r="K222" s="305"/>
      <c r="L222" s="306"/>
      <c r="M222" s="305"/>
      <c r="N222" s="305"/>
      <c r="O222" s="307"/>
      <c r="P222" s="288" t="s">
        <v>828</v>
      </c>
      <c r="Q222" s="289" t="s">
        <v>827</v>
      </c>
      <c r="R222" s="302">
        <v>0.41161531914893618</v>
      </c>
      <c r="S222" s="302">
        <v>0.49382042553191491</v>
      </c>
      <c r="T222" s="315">
        <v>13.737588652482268</v>
      </c>
      <c r="U222" s="302">
        <v>2.5017014697120879E-2</v>
      </c>
      <c r="V222" s="17"/>
      <c r="W222" s="18"/>
      <c r="X222" s="19"/>
      <c r="Y222" s="20"/>
      <c r="Z222" s="20"/>
      <c r="AA222" s="21"/>
      <c r="AB222" s="22"/>
      <c r="AH222" s="27"/>
      <c r="AI222" s="27"/>
      <c r="AN222" s="58"/>
      <c r="AO222" s="58"/>
      <c r="AP222" s="58"/>
    </row>
    <row r="223" spans="1:42">
      <c r="A223" s="288">
        <v>203</v>
      </c>
      <c r="B223" s="289" t="s">
        <v>829</v>
      </c>
      <c r="C223" s="288" t="s">
        <v>164</v>
      </c>
      <c r="D223" s="313" t="s">
        <v>801</v>
      </c>
      <c r="E223" s="288"/>
      <c r="F223" s="288"/>
      <c r="G223" s="288"/>
      <c r="H223" s="288"/>
      <c r="I223" s="304"/>
      <c r="J223" s="305"/>
      <c r="K223" s="305"/>
      <c r="L223" s="306"/>
      <c r="M223" s="305"/>
      <c r="N223" s="305"/>
      <c r="O223" s="307"/>
      <c r="P223" s="288" t="s">
        <v>830</v>
      </c>
      <c r="Q223" s="289" t="s">
        <v>829</v>
      </c>
      <c r="R223" s="302">
        <v>0.45067200000000002</v>
      </c>
      <c r="S223" s="302">
        <v>0.54067725</v>
      </c>
      <c r="T223" s="315">
        <v>12.106250000000001</v>
      </c>
      <c r="U223" s="302">
        <v>2.2046244201837775E-2</v>
      </c>
      <c r="V223" s="17"/>
      <c r="W223" s="18"/>
      <c r="X223" s="19"/>
      <c r="Y223" s="20"/>
      <c r="Z223" s="20"/>
      <c r="AA223" s="21"/>
      <c r="AB223" s="22"/>
      <c r="AH223" s="27"/>
      <c r="AI223" s="27"/>
      <c r="AN223" s="58"/>
      <c r="AO223" s="58"/>
      <c r="AP223" s="58"/>
    </row>
    <row r="224" spans="1:42">
      <c r="A224" s="288">
        <v>204</v>
      </c>
      <c r="B224" s="288" t="s">
        <v>831</v>
      </c>
      <c r="C224" s="288" t="s">
        <v>164</v>
      </c>
      <c r="D224" s="313" t="s">
        <v>801</v>
      </c>
      <c r="E224" s="288"/>
      <c r="F224" s="288"/>
      <c r="G224" s="288"/>
      <c r="H224" s="288"/>
      <c r="I224" s="304"/>
      <c r="J224" s="305"/>
      <c r="K224" s="305"/>
      <c r="L224" s="306"/>
      <c r="M224" s="305"/>
      <c r="N224" s="305"/>
      <c r="O224" s="307"/>
      <c r="P224" s="288" t="s">
        <v>832</v>
      </c>
      <c r="Q224" s="288" t="s">
        <v>831</v>
      </c>
      <c r="R224" s="302">
        <v>0.30411199999999999</v>
      </c>
      <c r="S224" s="302">
        <v>0.36484725000000001</v>
      </c>
      <c r="T224" s="315">
        <v>12.106250000000001</v>
      </c>
      <c r="U224" s="302">
        <v>2.2046244201837775E-2</v>
      </c>
      <c r="V224" s="17"/>
      <c r="W224" s="18"/>
      <c r="X224" s="19"/>
      <c r="Y224" s="20"/>
      <c r="Z224" s="20"/>
      <c r="AA224" s="21"/>
      <c r="AB224" s="22"/>
      <c r="AH224" s="27"/>
      <c r="AI224" s="27"/>
      <c r="AN224" s="58"/>
      <c r="AO224" s="58"/>
      <c r="AP224" s="58"/>
    </row>
    <row r="225" spans="1:42">
      <c r="A225" s="290">
        <v>205</v>
      </c>
      <c r="B225" s="288" t="s">
        <v>833</v>
      </c>
      <c r="C225" s="288" t="s">
        <v>164</v>
      </c>
      <c r="D225" s="313" t="s">
        <v>801</v>
      </c>
      <c r="E225" s="288"/>
      <c r="F225" s="288"/>
      <c r="G225" s="288"/>
      <c r="H225" s="288"/>
      <c r="I225" s="304"/>
      <c r="J225" s="305"/>
      <c r="K225" s="305"/>
      <c r="L225" s="306"/>
      <c r="M225" s="305"/>
      <c r="N225" s="305"/>
      <c r="O225" s="307"/>
      <c r="P225" s="288" t="s">
        <v>834</v>
      </c>
      <c r="Q225" s="288" t="s">
        <v>833</v>
      </c>
      <c r="R225" s="302">
        <v>0.34392746666666668</v>
      </c>
      <c r="S225" s="302">
        <v>0.41261439999999999</v>
      </c>
      <c r="T225" s="315">
        <v>12.913333333333334</v>
      </c>
      <c r="U225" s="302">
        <v>2.3515993815293627E-2</v>
      </c>
      <c r="V225" s="17"/>
      <c r="W225" s="18"/>
      <c r="X225" s="19"/>
      <c r="Y225" s="20"/>
      <c r="Z225" s="20"/>
      <c r="AA225" s="21"/>
      <c r="AB225" s="22"/>
      <c r="AH225" s="27"/>
      <c r="AI225" s="27"/>
      <c r="AN225" s="58"/>
      <c r="AO225" s="58"/>
      <c r="AP225" s="58"/>
    </row>
    <row r="226" spans="1:42">
      <c r="A226" s="288">
        <v>206</v>
      </c>
      <c r="B226" s="288" t="s">
        <v>835</v>
      </c>
      <c r="C226" s="288" t="s">
        <v>164</v>
      </c>
      <c r="D226" s="313" t="s">
        <v>801</v>
      </c>
      <c r="E226" s="288"/>
      <c r="F226" s="288"/>
      <c r="G226" s="288"/>
      <c r="H226" s="288"/>
      <c r="I226" s="304"/>
      <c r="J226" s="305"/>
      <c r="K226" s="305"/>
      <c r="L226" s="306"/>
      <c r="M226" s="305"/>
      <c r="N226" s="305"/>
      <c r="O226" s="307"/>
      <c r="P226" s="288" t="s">
        <v>836</v>
      </c>
      <c r="Q226" s="288" t="s">
        <v>835</v>
      </c>
      <c r="R226" s="302">
        <v>0.73724121212121219</v>
      </c>
      <c r="S226" s="302">
        <v>0.88447818181818194</v>
      </c>
      <c r="T226" s="315">
        <v>14.674242424242427</v>
      </c>
      <c r="U226" s="302">
        <v>2.6722720244651853E-2</v>
      </c>
      <c r="V226" s="17"/>
      <c r="W226" s="18"/>
      <c r="X226" s="19"/>
      <c r="Y226" s="20"/>
      <c r="Z226" s="20"/>
      <c r="AA226" s="21"/>
      <c r="AB226" s="22"/>
      <c r="AH226" s="27"/>
      <c r="AI226" s="27"/>
      <c r="AN226" s="58"/>
      <c r="AO226" s="58"/>
      <c r="AP226" s="58"/>
    </row>
    <row r="227" spans="1:42">
      <c r="A227" s="288">
        <v>207</v>
      </c>
      <c r="B227" s="288" t="s">
        <v>837</v>
      </c>
      <c r="C227" s="288" t="s">
        <v>164</v>
      </c>
      <c r="D227" s="313" t="s">
        <v>801</v>
      </c>
      <c r="E227" s="288" t="s">
        <v>802</v>
      </c>
      <c r="F227" s="288" t="s">
        <v>837</v>
      </c>
      <c r="G227" s="303" t="s">
        <v>200</v>
      </c>
      <c r="H227" s="288"/>
      <c r="I227" s="304">
        <v>2.0601666673259203E-2</v>
      </c>
      <c r="J227" s="305">
        <v>0.16794666672040964</v>
      </c>
      <c r="K227" s="305">
        <v>7.3061500023379692E-4</v>
      </c>
      <c r="L227" s="306" t="s">
        <v>177</v>
      </c>
      <c r="M227" s="305" t="s">
        <v>177</v>
      </c>
      <c r="N227" s="305">
        <v>2.6813759880000001</v>
      </c>
      <c r="O227" s="307">
        <v>5.6952797539639157E-3</v>
      </c>
      <c r="P227" s="288" t="s">
        <v>838</v>
      </c>
      <c r="Q227" s="288" t="s">
        <v>837</v>
      </c>
      <c r="R227" s="302">
        <v>2.0601666673259203E-2</v>
      </c>
      <c r="S227" s="302">
        <v>0.16794666672040964</v>
      </c>
      <c r="T227" s="302">
        <v>1.9541666672920002</v>
      </c>
      <c r="U227" s="302">
        <v>5.6952797539639157E-3</v>
      </c>
      <c r="V227" s="17"/>
      <c r="W227" s="18"/>
      <c r="X227" s="19"/>
      <c r="Y227" s="20"/>
      <c r="Z227" s="20"/>
      <c r="AA227" s="21"/>
      <c r="AB227" s="22"/>
      <c r="AH227" s="27"/>
      <c r="AI227" s="27"/>
      <c r="AN227" s="58"/>
      <c r="AO227" s="58"/>
      <c r="AP227" s="58"/>
    </row>
    <row r="228" spans="1:42">
      <c r="A228" s="288">
        <v>208</v>
      </c>
      <c r="B228" s="288" t="s">
        <v>839</v>
      </c>
      <c r="C228" s="288" t="s">
        <v>164</v>
      </c>
      <c r="D228" s="313" t="s">
        <v>801</v>
      </c>
      <c r="E228" s="288" t="s">
        <v>840</v>
      </c>
      <c r="F228" s="288" t="s">
        <v>841</v>
      </c>
      <c r="G228" s="303" t="s">
        <v>200</v>
      </c>
      <c r="H228" s="288"/>
      <c r="I228" s="304">
        <v>1.4413766233766232E-2</v>
      </c>
      <c r="J228" s="305">
        <v>0.11750233766233766</v>
      </c>
      <c r="K228" s="305">
        <v>5.1116805194805187E-4</v>
      </c>
      <c r="L228" s="306">
        <v>1876</v>
      </c>
      <c r="M228" s="305">
        <f>L228/1000</f>
        <v>1.8759999999999999</v>
      </c>
      <c r="N228" s="305">
        <f>L228/1000</f>
        <v>1.8759999999999999</v>
      </c>
      <c r="O228" s="307">
        <v>7.1006085221503486E-3</v>
      </c>
      <c r="P228" s="288" t="s">
        <v>842</v>
      </c>
      <c r="Q228" s="288" t="s">
        <v>839</v>
      </c>
      <c r="R228" s="302">
        <v>1.4413766233766232E-2</v>
      </c>
      <c r="S228" s="302">
        <v>0.11750233766233766</v>
      </c>
      <c r="T228" s="302">
        <v>2.4363636363636361</v>
      </c>
      <c r="U228" s="302">
        <v>7.1006085221503486E-3</v>
      </c>
      <c r="V228" s="17"/>
      <c r="W228" s="18"/>
      <c r="X228" s="19"/>
      <c r="Y228" s="20"/>
      <c r="Z228" s="20"/>
      <c r="AA228" s="21"/>
      <c r="AB228" s="22"/>
      <c r="AH228" s="27"/>
      <c r="AI228" s="27"/>
      <c r="AN228" s="58"/>
      <c r="AO228" s="58"/>
      <c r="AP228" s="58"/>
    </row>
    <row r="229" spans="1:42">
      <c r="A229" s="290">
        <v>209</v>
      </c>
      <c r="B229" s="288" t="s">
        <v>843</v>
      </c>
      <c r="C229" s="288" t="s">
        <v>164</v>
      </c>
      <c r="D229" s="313" t="s">
        <v>801</v>
      </c>
      <c r="E229" s="288"/>
      <c r="F229" s="288"/>
      <c r="G229" s="303"/>
      <c r="H229" s="288"/>
      <c r="I229" s="304"/>
      <c r="J229" s="305"/>
      <c r="K229" s="305"/>
      <c r="L229" s="306"/>
      <c r="M229" s="305"/>
      <c r="N229" s="305"/>
      <c r="O229" s="307"/>
      <c r="P229" s="288" t="s">
        <v>844</v>
      </c>
      <c r="Q229" s="288" t="s">
        <v>843</v>
      </c>
      <c r="R229" s="302">
        <v>2.044403940886699E-2</v>
      </c>
      <c r="S229" s="302">
        <v>0.16666167487684727</v>
      </c>
      <c r="T229" s="302">
        <v>2.7724137931034476</v>
      </c>
      <c r="U229" s="302">
        <v>8.0800028010676369E-3</v>
      </c>
      <c r="V229" s="17"/>
      <c r="W229" s="18"/>
      <c r="X229" s="19"/>
      <c r="Y229" s="20"/>
      <c r="Z229" s="20"/>
      <c r="AA229" s="21"/>
      <c r="AB229" s="22"/>
      <c r="AH229" s="27"/>
      <c r="AI229" s="27"/>
      <c r="AN229" s="58"/>
      <c r="AO229" s="58"/>
      <c r="AP229" s="58"/>
    </row>
    <row r="230" spans="1:42">
      <c r="A230" s="288">
        <v>210</v>
      </c>
      <c r="B230" s="288" t="s">
        <v>845</v>
      </c>
      <c r="C230" s="288" t="s">
        <v>164</v>
      </c>
      <c r="D230" s="313" t="s">
        <v>801</v>
      </c>
      <c r="E230" s="288"/>
      <c r="F230" s="288"/>
      <c r="G230" s="303"/>
      <c r="H230" s="288"/>
      <c r="I230" s="304"/>
      <c r="J230" s="305"/>
      <c r="K230" s="305"/>
      <c r="L230" s="306"/>
      <c r="M230" s="305"/>
      <c r="N230" s="305"/>
      <c r="O230" s="307"/>
      <c r="P230" s="288" t="s">
        <v>846</v>
      </c>
      <c r="Q230" s="288" t="s">
        <v>845</v>
      </c>
      <c r="R230" s="302">
        <v>2.0343823529411761E-2</v>
      </c>
      <c r="S230" s="302">
        <v>0.16584470588235292</v>
      </c>
      <c r="T230" s="302">
        <v>2.7588235294117642</v>
      </c>
      <c r="U230" s="302">
        <v>8.0403949441996587E-3</v>
      </c>
      <c r="V230" s="17"/>
      <c r="W230" s="37" t="s">
        <v>236</v>
      </c>
      <c r="X230" s="19">
        <f t="shared" ref="X230:AA230" si="62">AVERAGE(R212:R230)</f>
        <v>0.33861574838345965</v>
      </c>
      <c r="Y230" s="20">
        <f t="shared" si="62"/>
        <v>0.46502212660477199</v>
      </c>
      <c r="Z230" s="20">
        <f t="shared" si="62"/>
        <v>10.153495439951458</v>
      </c>
      <c r="AA230" s="21">
        <f t="shared" si="62"/>
        <v>1.957189571780912E-2</v>
      </c>
      <c r="AB230" s="22"/>
      <c r="AH230" s="27"/>
      <c r="AI230" s="27"/>
      <c r="AN230" s="58"/>
      <c r="AO230" s="58"/>
      <c r="AP230" s="58"/>
    </row>
    <row r="231" spans="1:42">
      <c r="A231" s="288">
        <v>236</v>
      </c>
      <c r="B231" s="288" t="s">
        <v>847</v>
      </c>
      <c r="C231" s="289" t="s">
        <v>848</v>
      </c>
      <c r="D231" s="312" t="s">
        <v>848</v>
      </c>
      <c r="E231" s="288" t="s">
        <v>847</v>
      </c>
      <c r="F231" s="289" t="s">
        <v>849</v>
      </c>
      <c r="G231" s="288" t="s">
        <v>850</v>
      </c>
      <c r="H231" s="288"/>
      <c r="I231" s="304">
        <v>3.372204299368619E-2</v>
      </c>
      <c r="J231" s="305">
        <v>6.4584205812988751E-2</v>
      </c>
      <c r="K231" s="305">
        <v>3.9999999999999998E-6</v>
      </c>
      <c r="L231" s="306">
        <v>7325</v>
      </c>
      <c r="M231" s="305">
        <f t="shared" ref="M231:M237" si="63">L231/1000</f>
        <v>7.3250000000000002</v>
      </c>
      <c r="N231" s="305">
        <f t="shared" ref="N231:N237" si="64">L231/1000</f>
        <v>7.3250000000000002</v>
      </c>
      <c r="O231" s="307">
        <v>1.477309663377164E-3</v>
      </c>
      <c r="P231" s="289" t="s">
        <v>851</v>
      </c>
      <c r="Q231" s="288" t="s">
        <v>847</v>
      </c>
      <c r="R231" s="302">
        <v>3.372204299368619E-2</v>
      </c>
      <c r="S231" s="302">
        <v>6.4584205812988751E-2</v>
      </c>
      <c r="T231" s="302">
        <v>7.3250000000000002</v>
      </c>
      <c r="U231" s="302">
        <v>1.477309663377164E-3</v>
      </c>
      <c r="V231" s="17"/>
      <c r="W231" s="18"/>
      <c r="X231" s="19"/>
      <c r="Y231" s="20"/>
      <c r="Z231" s="20"/>
      <c r="AA231" s="21"/>
      <c r="AB231" s="22"/>
      <c r="AH231" s="27"/>
      <c r="AI231" s="27"/>
      <c r="AN231" s="58"/>
      <c r="AO231" s="58"/>
      <c r="AP231" s="58"/>
    </row>
    <row r="232" spans="1:42">
      <c r="A232" s="288">
        <v>237</v>
      </c>
      <c r="B232" s="288" t="s">
        <v>852</v>
      </c>
      <c r="C232" s="289" t="s">
        <v>848</v>
      </c>
      <c r="D232" s="312" t="s">
        <v>848</v>
      </c>
      <c r="E232" s="288" t="s">
        <v>847</v>
      </c>
      <c r="F232" s="289" t="s">
        <v>849</v>
      </c>
      <c r="G232" s="288" t="s">
        <v>850</v>
      </c>
      <c r="H232" s="288"/>
      <c r="I232" s="304">
        <v>3.372204299368619E-2</v>
      </c>
      <c r="J232" s="305">
        <v>6.4584205812988751E-2</v>
      </c>
      <c r="K232" s="305">
        <v>3.9999999999999998E-6</v>
      </c>
      <c r="L232" s="306">
        <v>7325</v>
      </c>
      <c r="M232" s="305">
        <f t="shared" si="63"/>
        <v>7.3250000000000002</v>
      </c>
      <c r="N232" s="305">
        <f t="shared" si="64"/>
        <v>7.3250000000000002</v>
      </c>
      <c r="O232" s="307">
        <v>1.477309663377164E-3</v>
      </c>
      <c r="P232" s="289" t="s">
        <v>853</v>
      </c>
      <c r="Q232" s="288" t="s">
        <v>852</v>
      </c>
      <c r="R232" s="302">
        <v>3.372204299368619E-2</v>
      </c>
      <c r="S232" s="302">
        <v>6.4584205812988751E-2</v>
      </c>
      <c r="T232" s="302">
        <v>7.3250000000000002</v>
      </c>
      <c r="U232" s="302">
        <v>1.477309663377164E-3</v>
      </c>
      <c r="V232" s="17"/>
      <c r="W232" s="18"/>
      <c r="X232" s="19"/>
      <c r="Y232" s="20"/>
      <c r="Z232" s="20"/>
      <c r="AA232" s="21"/>
      <c r="AB232" s="22"/>
      <c r="AH232" s="27"/>
      <c r="AI232" s="27"/>
      <c r="AN232" s="58"/>
      <c r="AO232" s="58"/>
      <c r="AP232" s="58"/>
    </row>
    <row r="233" spans="1:42">
      <c r="A233" s="288">
        <v>238</v>
      </c>
      <c r="B233" s="288" t="s">
        <v>854</v>
      </c>
      <c r="C233" s="289" t="s">
        <v>848</v>
      </c>
      <c r="D233" s="312" t="s">
        <v>848</v>
      </c>
      <c r="E233" s="288" t="s">
        <v>847</v>
      </c>
      <c r="F233" s="288" t="s">
        <v>855</v>
      </c>
      <c r="G233" s="288" t="s">
        <v>850</v>
      </c>
      <c r="H233" s="288"/>
      <c r="I233" s="304">
        <v>3.372204299368619E-2</v>
      </c>
      <c r="J233" s="305">
        <v>6.4584205812988751E-2</v>
      </c>
      <c r="K233" s="305">
        <v>3.9999999999999998E-6</v>
      </c>
      <c r="L233" s="306">
        <v>7325</v>
      </c>
      <c r="M233" s="305">
        <f t="shared" si="63"/>
        <v>7.3250000000000002</v>
      </c>
      <c r="N233" s="305">
        <f t="shared" si="64"/>
        <v>7.3250000000000002</v>
      </c>
      <c r="O233" s="307">
        <v>1.477309663377164E-3</v>
      </c>
      <c r="P233" s="303" t="s">
        <v>856</v>
      </c>
      <c r="Q233" s="288" t="s">
        <v>854</v>
      </c>
      <c r="R233" s="302">
        <v>3.372204299368619E-2</v>
      </c>
      <c r="S233" s="302">
        <v>6.4584205812988751E-2</v>
      </c>
      <c r="T233" s="302">
        <v>7.3250000000000002</v>
      </c>
      <c r="U233" s="302">
        <v>1.477309663377164E-3</v>
      </c>
      <c r="V233" s="17"/>
      <c r="W233" s="18"/>
      <c r="X233" s="19"/>
      <c r="Y233" s="20"/>
      <c r="Z233" s="20"/>
      <c r="AA233" s="21"/>
      <c r="AB233" s="22"/>
      <c r="AH233" s="27"/>
      <c r="AI233" s="27"/>
      <c r="AN233" s="58"/>
      <c r="AO233" s="58"/>
      <c r="AP233" s="58"/>
    </row>
    <row r="234" spans="1:42">
      <c r="A234" s="290">
        <v>239</v>
      </c>
      <c r="B234" s="288" t="s">
        <v>857</v>
      </c>
      <c r="C234" s="289" t="s">
        <v>848</v>
      </c>
      <c r="D234" s="312" t="s">
        <v>848</v>
      </c>
      <c r="E234" s="288" t="s">
        <v>847</v>
      </c>
      <c r="F234" s="289" t="s">
        <v>849</v>
      </c>
      <c r="G234" s="288" t="s">
        <v>850</v>
      </c>
      <c r="H234" s="288"/>
      <c r="I234" s="304">
        <v>3.372204299368619E-2</v>
      </c>
      <c r="J234" s="305">
        <v>6.4584205812988751E-2</v>
      </c>
      <c r="K234" s="305">
        <v>3.9999999999999998E-6</v>
      </c>
      <c r="L234" s="306">
        <v>7325</v>
      </c>
      <c r="M234" s="305">
        <f t="shared" si="63"/>
        <v>7.3250000000000002</v>
      </c>
      <c r="N234" s="305">
        <f t="shared" si="64"/>
        <v>7.3250000000000002</v>
      </c>
      <c r="O234" s="307">
        <v>1.477309663377164E-3</v>
      </c>
      <c r="P234" s="303" t="s">
        <v>858</v>
      </c>
      <c r="Q234" s="288" t="s">
        <v>857</v>
      </c>
      <c r="R234" s="302">
        <v>3.372204299368619E-2</v>
      </c>
      <c r="S234" s="302">
        <v>6.4584205812988751E-2</v>
      </c>
      <c r="T234" s="302">
        <v>7.3250000000000002</v>
      </c>
      <c r="U234" s="302">
        <v>1.477309663377164E-3</v>
      </c>
      <c r="V234" s="17"/>
      <c r="W234" s="18"/>
      <c r="X234" s="19"/>
      <c r="Y234" s="20"/>
      <c r="Z234" s="20"/>
      <c r="AA234" s="21"/>
      <c r="AB234" s="22"/>
      <c r="AH234" s="27"/>
      <c r="AI234" s="27"/>
      <c r="AN234" s="58"/>
      <c r="AO234" s="58"/>
      <c r="AP234" s="58"/>
    </row>
    <row r="235" spans="1:42">
      <c r="A235" s="288">
        <v>240</v>
      </c>
      <c r="B235" s="288" t="s">
        <v>859</v>
      </c>
      <c r="C235" s="289" t="s">
        <v>848</v>
      </c>
      <c r="D235" s="312" t="s">
        <v>848</v>
      </c>
      <c r="E235" s="288" t="s">
        <v>847</v>
      </c>
      <c r="F235" s="289" t="s">
        <v>849</v>
      </c>
      <c r="G235" s="288" t="s">
        <v>850</v>
      </c>
      <c r="H235" s="288"/>
      <c r="I235" s="304">
        <v>3.372204299368619E-2</v>
      </c>
      <c r="J235" s="305">
        <v>6.4584205812988751E-2</v>
      </c>
      <c r="K235" s="305">
        <v>3.9999999999999998E-6</v>
      </c>
      <c r="L235" s="306">
        <v>7325</v>
      </c>
      <c r="M235" s="305">
        <f t="shared" si="63"/>
        <v>7.3250000000000002</v>
      </c>
      <c r="N235" s="305">
        <f t="shared" si="64"/>
        <v>7.3250000000000002</v>
      </c>
      <c r="O235" s="307">
        <v>1.477309663377164E-3</v>
      </c>
      <c r="P235" s="289" t="s">
        <v>860</v>
      </c>
      <c r="Q235" s="288" t="s">
        <v>859</v>
      </c>
      <c r="R235" s="302">
        <v>3.372204299368619E-2</v>
      </c>
      <c r="S235" s="302">
        <v>6.4584205812988751E-2</v>
      </c>
      <c r="T235" s="302">
        <v>7.3250000000000002</v>
      </c>
      <c r="U235" s="302">
        <v>1.477309663377164E-3</v>
      </c>
      <c r="V235" s="17"/>
      <c r="W235" s="18"/>
      <c r="X235" s="19"/>
      <c r="Y235" s="20"/>
      <c r="Z235" s="20"/>
      <c r="AA235" s="21"/>
      <c r="AB235" s="22"/>
      <c r="AH235" s="27"/>
      <c r="AI235" s="27"/>
      <c r="AN235" s="58"/>
      <c r="AO235" s="58"/>
      <c r="AP235" s="58"/>
    </row>
    <row r="236" spans="1:42">
      <c r="A236" s="290">
        <v>241</v>
      </c>
      <c r="B236" s="288" t="s">
        <v>861</v>
      </c>
      <c r="C236" s="289" t="s">
        <v>848</v>
      </c>
      <c r="D236" s="312" t="s">
        <v>848</v>
      </c>
      <c r="E236" s="288" t="s">
        <v>847</v>
      </c>
      <c r="F236" s="289" t="s">
        <v>862</v>
      </c>
      <c r="G236" s="288" t="s">
        <v>850</v>
      </c>
      <c r="H236" s="288"/>
      <c r="I236" s="304">
        <v>3.372204299368619E-2</v>
      </c>
      <c r="J236" s="305">
        <v>6.4584205812988751E-2</v>
      </c>
      <c r="K236" s="305">
        <v>3.9999999999999998E-6</v>
      </c>
      <c r="L236" s="306">
        <v>7325</v>
      </c>
      <c r="M236" s="305">
        <f t="shared" si="63"/>
        <v>7.3250000000000002</v>
      </c>
      <c r="N236" s="305">
        <f t="shared" si="64"/>
        <v>7.3250000000000002</v>
      </c>
      <c r="O236" s="307">
        <v>1.477309663377164E-3</v>
      </c>
      <c r="P236" s="289" t="s">
        <v>863</v>
      </c>
      <c r="Q236" s="288" t="s">
        <v>861</v>
      </c>
      <c r="R236" s="302">
        <v>3.372204299368619E-2</v>
      </c>
      <c r="S236" s="302">
        <v>6.4584205812988751E-2</v>
      </c>
      <c r="T236" s="302">
        <v>7.3250000000000002</v>
      </c>
      <c r="U236" s="302">
        <v>1.477309663377164E-3</v>
      </c>
      <c r="V236" s="17"/>
      <c r="W236" s="18"/>
      <c r="X236" s="19"/>
      <c r="Y236" s="20"/>
      <c r="Z236" s="20"/>
      <c r="AA236" s="21"/>
      <c r="AB236" s="22"/>
      <c r="AH236" s="27"/>
      <c r="AI236" s="27"/>
      <c r="AN236" s="58"/>
      <c r="AO236" s="58"/>
      <c r="AP236" s="58"/>
    </row>
    <row r="237" spans="1:42">
      <c r="A237" s="288">
        <v>242</v>
      </c>
      <c r="B237" s="289" t="s">
        <v>864</v>
      </c>
      <c r="C237" s="289" t="s">
        <v>848</v>
      </c>
      <c r="D237" s="312" t="s">
        <v>848</v>
      </c>
      <c r="E237" s="288" t="s">
        <v>847</v>
      </c>
      <c r="F237" s="289" t="s">
        <v>862</v>
      </c>
      <c r="G237" s="288" t="s">
        <v>865</v>
      </c>
      <c r="H237" s="288"/>
      <c r="I237" s="304">
        <v>3.372204299368619E-2</v>
      </c>
      <c r="J237" s="305">
        <v>6.4584205812988751E-2</v>
      </c>
      <c r="K237" s="305">
        <v>3.9999999999999998E-6</v>
      </c>
      <c r="L237" s="306">
        <v>7325</v>
      </c>
      <c r="M237" s="305">
        <f t="shared" si="63"/>
        <v>7.3250000000000002</v>
      </c>
      <c r="N237" s="305">
        <f t="shared" si="64"/>
        <v>7.3250000000000002</v>
      </c>
      <c r="O237" s="307">
        <v>1.477309663377164E-3</v>
      </c>
      <c r="P237" s="289" t="s">
        <v>866</v>
      </c>
      <c r="Q237" s="289" t="s">
        <v>864</v>
      </c>
      <c r="R237" s="302">
        <v>3.372204299368619E-2</v>
      </c>
      <c r="S237" s="302">
        <v>6.4584205812988751E-2</v>
      </c>
      <c r="T237" s="302">
        <v>7.3250000000000002</v>
      </c>
      <c r="U237" s="302">
        <v>1.477309663377164E-3</v>
      </c>
      <c r="V237" s="17"/>
      <c r="W237" s="18"/>
      <c r="X237" s="19"/>
      <c r="Y237" s="20"/>
      <c r="Z237" s="20"/>
      <c r="AA237" s="21"/>
      <c r="AB237" s="22"/>
      <c r="AH237" s="27"/>
      <c r="AI237" s="27"/>
      <c r="AN237" s="58"/>
      <c r="AO237" s="58"/>
      <c r="AP237" s="58"/>
    </row>
    <row r="238" spans="1:42">
      <c r="A238" s="288">
        <v>243</v>
      </c>
      <c r="B238" s="288" t="s">
        <v>867</v>
      </c>
      <c r="C238" s="289" t="s">
        <v>848</v>
      </c>
      <c r="D238" s="312" t="s">
        <v>848</v>
      </c>
      <c r="E238" s="288" t="s">
        <v>847</v>
      </c>
      <c r="F238" s="288" t="s">
        <v>867</v>
      </c>
      <c r="G238" s="288" t="s">
        <v>850</v>
      </c>
      <c r="H238" s="288"/>
      <c r="I238" s="304">
        <v>8.22790593034603E-2</v>
      </c>
      <c r="J238" s="305">
        <v>0.15758024213268212</v>
      </c>
      <c r="K238" s="305">
        <v>9.7596766979824417E-6</v>
      </c>
      <c r="L238" s="306" t="s">
        <v>177</v>
      </c>
      <c r="M238" s="305" t="str">
        <f t="shared" ref="M238:M239" si="65">L238</f>
        <v>*</v>
      </c>
      <c r="N238" s="305">
        <v>17.872407953180346</v>
      </c>
      <c r="O238" s="307">
        <v>3.6045161743415983E-3</v>
      </c>
      <c r="P238" s="289" t="s">
        <v>868</v>
      </c>
      <c r="Q238" s="288" t="s">
        <v>867</v>
      </c>
      <c r="R238" s="315">
        <v>8.22790593034603E-2</v>
      </c>
      <c r="S238" s="315">
        <v>0.15758024213268212</v>
      </c>
      <c r="T238" s="315">
        <v>17.872407953180346</v>
      </c>
      <c r="U238" s="315">
        <v>3.6045161743415983E-3</v>
      </c>
      <c r="V238" s="73"/>
      <c r="W238" s="18"/>
      <c r="X238" s="19"/>
      <c r="Y238" s="20"/>
      <c r="Z238" s="20"/>
      <c r="AA238" s="21"/>
      <c r="AB238" s="22"/>
      <c r="AH238" s="27"/>
      <c r="AI238" s="27"/>
      <c r="AN238" s="58"/>
      <c r="AO238" s="58"/>
      <c r="AP238" s="58"/>
    </row>
    <row r="239" spans="1:42">
      <c r="A239" s="288">
        <v>244</v>
      </c>
      <c r="B239" s="288" t="s">
        <v>869</v>
      </c>
      <c r="C239" s="289" t="s">
        <v>848</v>
      </c>
      <c r="D239" s="312" t="s">
        <v>848</v>
      </c>
      <c r="E239" s="288" t="s">
        <v>847</v>
      </c>
      <c r="F239" s="289" t="s">
        <v>862</v>
      </c>
      <c r="G239" s="288" t="s">
        <v>850</v>
      </c>
      <c r="H239" s="288"/>
      <c r="I239" s="304">
        <v>0.2509573149461517</v>
      </c>
      <c r="J239" s="305">
        <v>0.48063158219067315</v>
      </c>
      <c r="K239" s="305">
        <v>2.9767747463359634E-5</v>
      </c>
      <c r="L239" s="306" t="s">
        <v>177</v>
      </c>
      <c r="M239" s="305" t="str">
        <f t="shared" si="65"/>
        <v>*</v>
      </c>
      <c r="N239" s="305">
        <v>54.512187542277339</v>
      </c>
      <c r="O239" s="307">
        <v>1.0994045246148063E-2</v>
      </c>
      <c r="P239" s="289" t="s">
        <v>870</v>
      </c>
      <c r="Q239" s="288" t="s">
        <v>869</v>
      </c>
      <c r="R239" s="302">
        <v>0.2509573149461517</v>
      </c>
      <c r="S239" s="302">
        <v>0.48063158219067315</v>
      </c>
      <c r="T239" s="302">
        <v>54.512187542277339</v>
      </c>
      <c r="U239" s="302">
        <v>1.0994045246148063E-2</v>
      </c>
      <c r="V239" s="17"/>
      <c r="W239" s="18"/>
      <c r="X239" s="19"/>
      <c r="Y239" s="20"/>
      <c r="Z239" s="20"/>
      <c r="AA239" s="21"/>
      <c r="AB239" s="22"/>
      <c r="AH239" s="27"/>
      <c r="AI239" s="27"/>
      <c r="AN239" s="58"/>
      <c r="AO239" s="58"/>
      <c r="AP239" s="58"/>
    </row>
    <row r="240" spans="1:42">
      <c r="A240" s="290">
        <v>245</v>
      </c>
      <c r="B240" s="288" t="s">
        <v>871</v>
      </c>
      <c r="C240" s="288" t="s">
        <v>848</v>
      </c>
      <c r="D240" s="313" t="s">
        <v>848</v>
      </c>
      <c r="E240" s="288" t="s">
        <v>252</v>
      </c>
      <c r="F240" s="289" t="s">
        <v>872</v>
      </c>
      <c r="G240" s="303" t="s">
        <v>873</v>
      </c>
      <c r="H240" s="288"/>
      <c r="I240" s="304">
        <v>3.8102374934982654E-3</v>
      </c>
      <c r="J240" s="305">
        <v>0.20470422547079484</v>
      </c>
      <c r="K240" s="305">
        <v>1.210810810810811E-4</v>
      </c>
      <c r="L240" s="306">
        <v>253</v>
      </c>
      <c r="M240" s="305">
        <f t="shared" ref="M240:M245" si="66">L240/1000</f>
        <v>0.253</v>
      </c>
      <c r="N240" s="305">
        <v>0.42546546549999997</v>
      </c>
      <c r="O240" s="307">
        <v>1.0002400855855065E-3</v>
      </c>
      <c r="P240" s="288" t="s">
        <v>874</v>
      </c>
      <c r="Q240" s="288" t="s">
        <v>871</v>
      </c>
      <c r="R240" s="302">
        <v>3.8102374934982654E-3</v>
      </c>
      <c r="S240" s="302">
        <v>0.20470422547079484</v>
      </c>
      <c r="T240" s="302">
        <v>0.42546546549999997</v>
      </c>
      <c r="U240" s="302">
        <v>1.0002400855855065E-3</v>
      </c>
      <c r="V240" s="17"/>
      <c r="W240" s="18"/>
      <c r="X240" s="19"/>
      <c r="Y240" s="20"/>
      <c r="Z240" s="20"/>
      <c r="AA240" s="21"/>
      <c r="AB240" s="22"/>
      <c r="AH240" s="27"/>
      <c r="AI240" s="27"/>
      <c r="AN240" s="58"/>
      <c r="AO240" s="58"/>
      <c r="AP240" s="58"/>
    </row>
    <row r="241" spans="1:42">
      <c r="A241" s="288">
        <v>246</v>
      </c>
      <c r="B241" s="288" t="s">
        <v>875</v>
      </c>
      <c r="C241" s="288" t="s">
        <v>848</v>
      </c>
      <c r="D241" s="313" t="s">
        <v>848</v>
      </c>
      <c r="E241" s="288" t="s">
        <v>252</v>
      </c>
      <c r="F241" s="289" t="s">
        <v>872</v>
      </c>
      <c r="G241" s="303" t="s">
        <v>873</v>
      </c>
      <c r="H241" s="288"/>
      <c r="I241" s="304">
        <v>3.8102374934982654E-3</v>
      </c>
      <c r="J241" s="305">
        <v>0.20470422547079484</v>
      </c>
      <c r="K241" s="305">
        <v>1.210810810810811E-4</v>
      </c>
      <c r="L241" s="306">
        <v>253</v>
      </c>
      <c r="M241" s="305">
        <f t="shared" si="66"/>
        <v>0.253</v>
      </c>
      <c r="N241" s="305">
        <v>0.42546546549999997</v>
      </c>
      <c r="O241" s="307">
        <v>1.0002400855855065E-3</v>
      </c>
      <c r="P241" s="288" t="s">
        <v>876</v>
      </c>
      <c r="Q241" s="288" t="s">
        <v>875</v>
      </c>
      <c r="R241" s="302">
        <v>3.8102374934982654E-3</v>
      </c>
      <c r="S241" s="302">
        <v>0.20470422547079484</v>
      </c>
      <c r="T241" s="302">
        <v>0.42546546549999997</v>
      </c>
      <c r="U241" s="302">
        <v>1.0002400855855065E-3</v>
      </c>
      <c r="V241" s="17"/>
      <c r="W241" s="18"/>
      <c r="X241" s="19"/>
      <c r="Y241" s="20"/>
      <c r="Z241" s="20"/>
      <c r="AA241" s="21"/>
      <c r="AB241" s="22"/>
      <c r="AH241" s="27"/>
      <c r="AI241" s="27"/>
      <c r="AN241" s="58"/>
      <c r="AO241" s="58"/>
      <c r="AP241" s="58"/>
    </row>
    <row r="242" spans="1:42">
      <c r="A242" s="288">
        <v>247</v>
      </c>
      <c r="B242" s="288" t="s">
        <v>877</v>
      </c>
      <c r="C242" s="288" t="s">
        <v>848</v>
      </c>
      <c r="D242" s="313" t="s">
        <v>848</v>
      </c>
      <c r="E242" s="288" t="s">
        <v>252</v>
      </c>
      <c r="F242" s="289" t="s">
        <v>710</v>
      </c>
      <c r="G242" s="303" t="s">
        <v>873</v>
      </c>
      <c r="H242" s="288"/>
      <c r="I242" s="304">
        <v>3.8102374934982654E-3</v>
      </c>
      <c r="J242" s="305">
        <v>0.20470422547079484</v>
      </c>
      <c r="K242" s="305">
        <v>1.210810810810811E-4</v>
      </c>
      <c r="L242" s="306">
        <v>253</v>
      </c>
      <c r="M242" s="305">
        <f t="shared" si="66"/>
        <v>0.253</v>
      </c>
      <c r="N242" s="305">
        <v>0.42546546549999997</v>
      </c>
      <c r="O242" s="307">
        <v>1.0002400855855065E-3</v>
      </c>
      <c r="P242" s="288" t="s">
        <v>878</v>
      </c>
      <c r="Q242" s="288" t="s">
        <v>877</v>
      </c>
      <c r="R242" s="302">
        <v>3.8102374934982654E-3</v>
      </c>
      <c r="S242" s="302">
        <v>0.20470422547079484</v>
      </c>
      <c r="T242" s="302">
        <v>0.42546546549999997</v>
      </c>
      <c r="U242" s="302">
        <v>1.0002400855855065E-3</v>
      </c>
      <c r="V242" s="17"/>
      <c r="W242" s="18"/>
      <c r="X242" s="19"/>
      <c r="Y242" s="20"/>
      <c r="Z242" s="20"/>
      <c r="AA242" s="21"/>
      <c r="AB242" s="22"/>
      <c r="AH242" s="27"/>
      <c r="AI242" s="27"/>
      <c r="AN242" s="58"/>
      <c r="AO242" s="58"/>
      <c r="AP242" s="58"/>
    </row>
    <row r="243" spans="1:42">
      <c r="A243" s="288">
        <v>248</v>
      </c>
      <c r="B243" s="288" t="s">
        <v>879</v>
      </c>
      <c r="C243" s="288" t="s">
        <v>848</v>
      </c>
      <c r="D243" s="313" t="s">
        <v>848</v>
      </c>
      <c r="E243" s="288" t="s">
        <v>174</v>
      </c>
      <c r="F243" s="288" t="s">
        <v>174</v>
      </c>
      <c r="G243" s="288" t="s">
        <v>880</v>
      </c>
      <c r="H243" s="288"/>
      <c r="I243" s="304">
        <v>0</v>
      </c>
      <c r="J243" s="305">
        <v>0</v>
      </c>
      <c r="K243" s="305">
        <v>0</v>
      </c>
      <c r="L243" s="306">
        <v>0</v>
      </c>
      <c r="M243" s="305">
        <f t="shared" si="66"/>
        <v>0</v>
      </c>
      <c r="N243" s="305">
        <f>L243/1000</f>
        <v>0</v>
      </c>
      <c r="O243" s="307">
        <v>0</v>
      </c>
      <c r="P243" s="288" t="s">
        <v>881</v>
      </c>
      <c r="Q243" s="288" t="s">
        <v>879</v>
      </c>
      <c r="R243" s="302">
        <v>0</v>
      </c>
      <c r="S243" s="302">
        <v>0</v>
      </c>
      <c r="T243" s="302">
        <v>0</v>
      </c>
      <c r="U243" s="302">
        <v>0</v>
      </c>
      <c r="V243" s="48"/>
      <c r="W243" s="18"/>
      <c r="X243" s="19"/>
      <c r="Y243" s="20"/>
      <c r="Z243" s="20"/>
      <c r="AA243" s="21"/>
      <c r="AB243" s="22"/>
      <c r="AH243" s="27"/>
      <c r="AI243" s="27"/>
      <c r="AN243" s="58"/>
      <c r="AO243" s="58"/>
      <c r="AP243" s="58"/>
    </row>
    <row r="244" spans="1:42">
      <c r="A244" s="290">
        <v>249</v>
      </c>
      <c r="B244" s="288" t="s">
        <v>882</v>
      </c>
      <c r="C244" s="289" t="s">
        <v>848</v>
      </c>
      <c r="D244" s="312" t="s">
        <v>848</v>
      </c>
      <c r="E244" s="288" t="s">
        <v>883</v>
      </c>
      <c r="F244" s="288" t="s">
        <v>882</v>
      </c>
      <c r="G244" s="288" t="s">
        <v>1013</v>
      </c>
      <c r="H244" s="288"/>
      <c r="I244" s="304">
        <v>2.2558902713754649E-4</v>
      </c>
      <c r="J244" s="305">
        <v>9.3669250645994837E-3</v>
      </c>
      <c r="K244" s="305">
        <v>3.8830162085976054E-4</v>
      </c>
      <c r="L244" s="306">
        <v>1023</v>
      </c>
      <c r="M244" s="305">
        <f t="shared" si="66"/>
        <v>1.0229999999999999</v>
      </c>
      <c r="N244" s="305">
        <v>0.76658914730000005</v>
      </c>
      <c r="O244" s="307">
        <v>3.0037166166469137E-4</v>
      </c>
      <c r="P244" s="289" t="s">
        <v>884</v>
      </c>
      <c r="Q244" s="288" t="s">
        <v>882</v>
      </c>
      <c r="R244" s="302">
        <v>2.2558902713754649E-4</v>
      </c>
      <c r="S244" s="302">
        <v>9.3669250645994837E-3</v>
      </c>
      <c r="T244" s="302">
        <v>0.76658914730000005</v>
      </c>
      <c r="U244" s="302">
        <v>3.0037166166469137E-4</v>
      </c>
      <c r="V244" s="17"/>
      <c r="W244" s="18"/>
      <c r="X244" s="19"/>
      <c r="Y244" s="20"/>
      <c r="Z244" s="20"/>
      <c r="AA244" s="21"/>
      <c r="AB244" s="22"/>
      <c r="AH244" s="27"/>
      <c r="AI244" s="27"/>
      <c r="AN244" s="58"/>
      <c r="AO244" s="58"/>
      <c r="AP244" s="58"/>
    </row>
    <row r="245" spans="1:42">
      <c r="A245" s="288">
        <v>250</v>
      </c>
      <c r="B245" s="288" t="s">
        <v>885</v>
      </c>
      <c r="C245" s="289" t="s">
        <v>848</v>
      </c>
      <c r="D245" s="312" t="s">
        <v>848</v>
      </c>
      <c r="E245" s="288" t="s">
        <v>252</v>
      </c>
      <c r="F245" s="288" t="s">
        <v>886</v>
      </c>
      <c r="G245" s="288" t="s">
        <v>887</v>
      </c>
      <c r="H245" s="288"/>
      <c r="I245" s="304">
        <v>1.752583727203297E-3</v>
      </c>
      <c r="J245" s="305">
        <v>9.4157200190816151E-2</v>
      </c>
      <c r="K245" s="305">
        <v>5.4351301115241636E-5</v>
      </c>
      <c r="L245" s="306">
        <v>1570</v>
      </c>
      <c r="M245" s="305">
        <f t="shared" si="66"/>
        <v>1.57</v>
      </c>
      <c r="N245" s="305">
        <v>0.1697639405204461</v>
      </c>
      <c r="O245" s="307">
        <v>3.99414019024745E-4</v>
      </c>
      <c r="P245" s="288" t="s">
        <v>888</v>
      </c>
      <c r="Q245" s="288" t="s">
        <v>885</v>
      </c>
      <c r="R245" s="315">
        <v>1.752583727203297E-3</v>
      </c>
      <c r="S245" s="315">
        <v>9.4157200190816151E-2</v>
      </c>
      <c r="T245" s="315">
        <v>0.1697639405204461</v>
      </c>
      <c r="U245" s="315">
        <v>3.99414019024745E-4</v>
      </c>
      <c r="V245" s="73"/>
      <c r="W245" s="18"/>
      <c r="X245" s="19"/>
      <c r="Y245" s="20"/>
      <c r="Z245" s="20"/>
      <c r="AA245" s="21"/>
      <c r="AB245" s="22"/>
      <c r="AH245" s="27"/>
      <c r="AI245" s="27"/>
      <c r="AN245" s="58"/>
      <c r="AO245" s="58"/>
      <c r="AP245" s="58"/>
    </row>
    <row r="246" spans="1:42">
      <c r="A246" s="290">
        <v>251</v>
      </c>
      <c r="B246" s="288" t="s">
        <v>889</v>
      </c>
      <c r="C246" s="289" t="s">
        <v>848</v>
      </c>
      <c r="D246" s="312" t="s">
        <v>848</v>
      </c>
      <c r="E246" s="288"/>
      <c r="F246" s="288"/>
      <c r="G246" s="288"/>
      <c r="H246" s="288"/>
      <c r="I246" s="304"/>
      <c r="J246" s="305"/>
      <c r="K246" s="305"/>
      <c r="L246" s="306"/>
      <c r="M246" s="305"/>
      <c r="N246" s="305"/>
      <c r="O246" s="307"/>
      <c r="P246" s="288" t="s">
        <v>890</v>
      </c>
      <c r="Q246" s="288" t="s">
        <v>889</v>
      </c>
      <c r="R246" s="315">
        <v>2.6346744791666668E-2</v>
      </c>
      <c r="S246" s="315">
        <v>0</v>
      </c>
      <c r="T246" s="315">
        <v>0</v>
      </c>
      <c r="U246" s="315">
        <v>6.7539999999999996E-3</v>
      </c>
      <c r="V246" s="73"/>
      <c r="W246" s="18"/>
      <c r="X246" s="19"/>
      <c r="Y246" s="20"/>
      <c r="Z246" s="20"/>
      <c r="AA246" s="21"/>
      <c r="AB246" s="22"/>
      <c r="AH246" s="27"/>
      <c r="AI246" s="27"/>
      <c r="AN246" s="58"/>
      <c r="AO246" s="58"/>
      <c r="AP246" s="58"/>
    </row>
    <row r="247" spans="1:42">
      <c r="A247" s="288">
        <v>252</v>
      </c>
      <c r="B247" s="288" t="s">
        <v>891</v>
      </c>
      <c r="C247" s="289" t="s">
        <v>848</v>
      </c>
      <c r="D247" s="312" t="s">
        <v>848</v>
      </c>
      <c r="E247" s="288" t="s">
        <v>891</v>
      </c>
      <c r="F247" s="288" t="s">
        <v>892</v>
      </c>
      <c r="G247" s="288" t="s">
        <v>796</v>
      </c>
      <c r="H247" s="288"/>
      <c r="I247" s="304">
        <v>0</v>
      </c>
      <c r="J247" s="305">
        <v>0</v>
      </c>
      <c r="K247" s="305">
        <v>0</v>
      </c>
      <c r="L247" s="306">
        <v>0</v>
      </c>
      <c r="M247" s="305">
        <f t="shared" ref="M247:M253" si="67">L247/1000</f>
        <v>0</v>
      </c>
      <c r="N247" s="305">
        <f t="shared" ref="N247:N248" si="68">L247/1000</f>
        <v>0</v>
      </c>
      <c r="O247" s="307">
        <v>0</v>
      </c>
      <c r="P247" s="288" t="s">
        <v>893</v>
      </c>
      <c r="Q247" s="288" t="s">
        <v>891</v>
      </c>
      <c r="R247" s="302">
        <v>0</v>
      </c>
      <c r="S247" s="302">
        <v>0</v>
      </c>
      <c r="T247" s="302">
        <v>0</v>
      </c>
      <c r="U247" s="302">
        <v>0</v>
      </c>
      <c r="V247" s="17"/>
      <c r="W247" s="18"/>
      <c r="X247" s="19"/>
      <c r="Y247" s="20"/>
      <c r="Z247" s="20"/>
      <c r="AA247" s="21"/>
      <c r="AB247" s="22"/>
      <c r="AH247" s="27"/>
      <c r="AI247" s="27"/>
      <c r="AN247" s="58"/>
      <c r="AO247" s="58"/>
      <c r="AP247" s="58"/>
    </row>
    <row r="248" spans="1:42">
      <c r="A248" s="288">
        <v>253</v>
      </c>
      <c r="B248" s="289" t="s">
        <v>883</v>
      </c>
      <c r="C248" s="289" t="s">
        <v>848</v>
      </c>
      <c r="D248" s="312" t="s">
        <v>848</v>
      </c>
      <c r="E248" s="288" t="s">
        <v>883</v>
      </c>
      <c r="F248" s="289" t="s">
        <v>894</v>
      </c>
      <c r="G248" s="288" t="s">
        <v>1013</v>
      </c>
      <c r="H248" s="288"/>
      <c r="I248" s="304">
        <v>3.0104466724907065E-4</v>
      </c>
      <c r="J248" s="305">
        <v>1.2500000000000001E-2</v>
      </c>
      <c r="K248" s="305">
        <v>5.1818181818181835E-4</v>
      </c>
      <c r="L248" s="306">
        <v>1023</v>
      </c>
      <c r="M248" s="305">
        <f t="shared" si="67"/>
        <v>1.0229999999999999</v>
      </c>
      <c r="N248" s="305">
        <f t="shared" si="68"/>
        <v>1.0229999999999999</v>
      </c>
      <c r="O248" s="307">
        <v>4.0084080366977777E-4</v>
      </c>
      <c r="P248" s="289" t="s">
        <v>895</v>
      </c>
      <c r="Q248" s="289" t="s">
        <v>883</v>
      </c>
      <c r="R248" s="302">
        <v>3.0104466724907065E-4</v>
      </c>
      <c r="S248" s="302">
        <v>1.2500000000000001E-2</v>
      </c>
      <c r="T248" s="302">
        <v>1.0229999999999999</v>
      </c>
      <c r="U248" s="302">
        <v>4.0084080366977777E-4</v>
      </c>
      <c r="V248" s="17"/>
      <c r="W248" s="18"/>
      <c r="X248" s="19"/>
      <c r="Y248" s="20"/>
      <c r="Z248" s="20"/>
      <c r="AA248" s="21"/>
      <c r="AB248" s="22"/>
      <c r="AH248" s="27"/>
      <c r="AI248" s="27"/>
      <c r="AN248" s="58"/>
      <c r="AO248" s="58"/>
      <c r="AP248" s="58"/>
    </row>
    <row r="249" spans="1:42">
      <c r="A249" s="288">
        <v>254</v>
      </c>
      <c r="B249" s="288" t="s">
        <v>896</v>
      </c>
      <c r="C249" s="289" t="s">
        <v>848</v>
      </c>
      <c r="D249" s="312" t="s">
        <v>848</v>
      </c>
      <c r="E249" s="288" t="s">
        <v>883</v>
      </c>
      <c r="F249" s="289" t="s">
        <v>894</v>
      </c>
      <c r="G249" s="288" t="s">
        <v>1013</v>
      </c>
      <c r="H249" s="288"/>
      <c r="I249" s="304">
        <v>2.9559941486988851E-4</v>
      </c>
      <c r="J249" s="305">
        <v>1.227390180878553E-2</v>
      </c>
      <c r="K249" s="305">
        <v>5.0880902043692758E-4</v>
      </c>
      <c r="L249" s="306">
        <v>1023</v>
      </c>
      <c r="M249" s="305">
        <f t="shared" si="67"/>
        <v>1.0229999999999999</v>
      </c>
      <c r="N249" s="305">
        <v>1.0044961240000001</v>
      </c>
      <c r="O249" s="307">
        <v>3.9359045321580248E-4</v>
      </c>
      <c r="P249" s="289" t="s">
        <v>897</v>
      </c>
      <c r="Q249" s="288" t="s">
        <v>896</v>
      </c>
      <c r="R249" s="302">
        <v>2.9559941486988851E-4</v>
      </c>
      <c r="S249" s="302">
        <v>1.227390180878553E-2</v>
      </c>
      <c r="T249" s="302">
        <v>1.0044961240000001</v>
      </c>
      <c r="U249" s="302">
        <v>3.9359045321580248E-4</v>
      </c>
      <c r="V249" s="17"/>
      <c r="W249" s="18"/>
      <c r="X249" s="19"/>
      <c r="Y249" s="20"/>
      <c r="Z249" s="20"/>
      <c r="AA249" s="21"/>
      <c r="AB249" s="22"/>
      <c r="AH249" s="27"/>
      <c r="AI249" s="27"/>
      <c r="AN249" s="58"/>
      <c r="AO249" s="58"/>
      <c r="AP249" s="58"/>
    </row>
    <row r="250" spans="1:42">
      <c r="A250" s="290">
        <v>255</v>
      </c>
      <c r="B250" s="288" t="s">
        <v>898</v>
      </c>
      <c r="C250" s="289" t="s">
        <v>848</v>
      </c>
      <c r="D250" s="312" t="s">
        <v>848</v>
      </c>
      <c r="E250" s="288" t="s">
        <v>883</v>
      </c>
      <c r="F250" s="289" t="s">
        <v>894</v>
      </c>
      <c r="G250" s="288" t="s">
        <v>1013</v>
      </c>
      <c r="H250" s="288"/>
      <c r="I250" s="304">
        <v>3.0104466724907065E-4</v>
      </c>
      <c r="J250" s="305">
        <v>1.2500000000000001E-2</v>
      </c>
      <c r="K250" s="305">
        <v>5.1818181818181835E-4</v>
      </c>
      <c r="L250" s="306">
        <v>1023</v>
      </c>
      <c r="M250" s="305">
        <f t="shared" si="67"/>
        <v>1.0229999999999999</v>
      </c>
      <c r="N250" s="305">
        <f t="shared" ref="N250:N251" si="69">L250/1000</f>
        <v>1.0229999999999999</v>
      </c>
      <c r="O250" s="307">
        <v>4.0084080366977777E-4</v>
      </c>
      <c r="P250" s="289" t="s">
        <v>899</v>
      </c>
      <c r="Q250" s="288" t="s">
        <v>898</v>
      </c>
      <c r="R250" s="302">
        <v>3.0104466724907065E-4</v>
      </c>
      <c r="S250" s="302">
        <v>1.2500000000000001E-2</v>
      </c>
      <c r="T250" s="302">
        <v>1.0229999999999999</v>
      </c>
      <c r="U250" s="302">
        <v>4.0084080366977777E-4</v>
      </c>
      <c r="V250" s="17"/>
      <c r="W250" s="18"/>
      <c r="X250" s="19"/>
      <c r="Y250" s="20"/>
      <c r="Z250" s="20"/>
      <c r="AA250" s="21"/>
      <c r="AB250" s="22"/>
      <c r="AH250" s="27"/>
      <c r="AI250" s="27"/>
      <c r="AN250" s="58"/>
      <c r="AO250" s="58"/>
      <c r="AP250" s="58"/>
    </row>
    <row r="251" spans="1:42">
      <c r="A251" s="288">
        <v>256</v>
      </c>
      <c r="B251" s="289" t="s">
        <v>900</v>
      </c>
      <c r="C251" s="289" t="s">
        <v>848</v>
      </c>
      <c r="D251" s="312" t="s">
        <v>848</v>
      </c>
      <c r="E251" s="288" t="s">
        <v>883</v>
      </c>
      <c r="F251" s="289" t="s">
        <v>894</v>
      </c>
      <c r="G251" s="288" t="s">
        <v>1013</v>
      </c>
      <c r="H251" s="288"/>
      <c r="I251" s="304">
        <v>3.0104466724907065E-4</v>
      </c>
      <c r="J251" s="305">
        <v>1.2500000000000001E-2</v>
      </c>
      <c r="K251" s="305">
        <v>5.1818181818181835E-4</v>
      </c>
      <c r="L251" s="306">
        <v>1023</v>
      </c>
      <c r="M251" s="305">
        <f t="shared" si="67"/>
        <v>1.0229999999999999</v>
      </c>
      <c r="N251" s="305">
        <f t="shared" si="69"/>
        <v>1.0229999999999999</v>
      </c>
      <c r="O251" s="307">
        <v>4.0084080366977777E-4</v>
      </c>
      <c r="P251" s="289" t="s">
        <v>901</v>
      </c>
      <c r="Q251" s="289" t="s">
        <v>900</v>
      </c>
      <c r="R251" s="302">
        <v>3.0104466724907065E-4</v>
      </c>
      <c r="S251" s="302">
        <v>1.2500000000000001E-2</v>
      </c>
      <c r="T251" s="302">
        <v>1.0229999999999999</v>
      </c>
      <c r="U251" s="302">
        <v>4.0084080366977777E-4</v>
      </c>
      <c r="V251" s="17"/>
      <c r="W251" s="67" t="s">
        <v>239</v>
      </c>
      <c r="X251" s="19">
        <f t="shared" ref="X251:AA251" si="70">AVERAGE(R231:R251)</f>
        <v>2.9059287554692143E-2</v>
      </c>
      <c r="Y251" s="20">
        <f t="shared" si="70"/>
        <v>8.8462474690041065E-2</v>
      </c>
      <c r="Z251" s="20">
        <f t="shared" si="70"/>
        <v>6.1878971954180058</v>
      </c>
      <c r="AA251" s="21">
        <f t="shared" si="70"/>
        <v>1.7614451364667094E-3</v>
      </c>
      <c r="AB251" s="22"/>
      <c r="AH251" s="27"/>
      <c r="AI251" s="27"/>
      <c r="AN251" s="58"/>
      <c r="AO251" s="58"/>
      <c r="AP251" s="58"/>
    </row>
    <row r="252" spans="1:42">
      <c r="A252" s="288">
        <v>284</v>
      </c>
      <c r="B252" s="289" t="s">
        <v>902</v>
      </c>
      <c r="C252" s="289" t="s">
        <v>903</v>
      </c>
      <c r="D252" s="289" t="s">
        <v>904</v>
      </c>
      <c r="E252" s="288" t="s">
        <v>902</v>
      </c>
      <c r="F252" s="289" t="s">
        <v>905</v>
      </c>
      <c r="G252" s="288" t="s">
        <v>906</v>
      </c>
      <c r="H252" s="288"/>
      <c r="I252" s="304">
        <v>5.5636766460262456E-4</v>
      </c>
      <c r="J252" s="305">
        <v>1.354456626711356E-2</v>
      </c>
      <c r="K252" s="305">
        <v>7.0283975659229207E-5</v>
      </c>
      <c r="L252" s="306">
        <v>370</v>
      </c>
      <c r="M252" s="305">
        <f t="shared" si="67"/>
        <v>0.37</v>
      </c>
      <c r="N252" s="305">
        <v>0.66982758620000005</v>
      </c>
      <c r="O252" s="307">
        <v>7.0431572008113595E-4</v>
      </c>
      <c r="P252" s="289" t="s">
        <v>907</v>
      </c>
      <c r="Q252" s="289" t="s">
        <v>902</v>
      </c>
      <c r="R252" s="302">
        <v>5.5636766460262456E-4</v>
      </c>
      <c r="S252" s="302">
        <v>1.354456626711356E-2</v>
      </c>
      <c r="T252" s="302">
        <v>0.66982758620000005</v>
      </c>
      <c r="U252" s="302">
        <v>7.0431572008113595E-4</v>
      </c>
      <c r="V252" s="17"/>
      <c r="W252" s="18"/>
      <c r="X252" s="19"/>
      <c r="Y252" s="20"/>
      <c r="Z252" s="20"/>
      <c r="AA252" s="21"/>
      <c r="AB252" s="22"/>
      <c r="AH252" s="27"/>
      <c r="AI252" s="27"/>
      <c r="AN252" s="58"/>
      <c r="AO252" s="58"/>
      <c r="AP252" s="58"/>
    </row>
    <row r="253" spans="1:42">
      <c r="A253" s="290">
        <v>285</v>
      </c>
      <c r="B253" s="289" t="s">
        <v>905</v>
      </c>
      <c r="C253" s="289" t="s">
        <v>903</v>
      </c>
      <c r="D253" s="289" t="s">
        <v>904</v>
      </c>
      <c r="E253" s="288" t="s">
        <v>902</v>
      </c>
      <c r="F253" s="289" t="s">
        <v>905</v>
      </c>
      <c r="G253" s="311" t="s">
        <v>1655</v>
      </c>
      <c r="H253" s="288"/>
      <c r="I253" s="304">
        <v>5.5636766460262456E-4</v>
      </c>
      <c r="J253" s="305">
        <v>1.354456626711356E-2</v>
      </c>
      <c r="K253" s="305">
        <v>7.0283975659229207E-5</v>
      </c>
      <c r="L253" s="306">
        <v>370</v>
      </c>
      <c r="M253" s="305">
        <f t="shared" si="67"/>
        <v>0.37</v>
      </c>
      <c r="N253" s="305">
        <v>0.66982758620000005</v>
      </c>
      <c r="O253" s="307">
        <v>7.0431572008113595E-4</v>
      </c>
      <c r="P253" s="289" t="s">
        <v>908</v>
      </c>
      <c r="Q253" s="289" t="s">
        <v>905</v>
      </c>
      <c r="R253" s="302">
        <v>5.5636766460262456E-4</v>
      </c>
      <c r="S253" s="302">
        <v>1.354456626711356E-2</v>
      </c>
      <c r="T253" s="302">
        <v>0.66982758620000005</v>
      </c>
      <c r="U253" s="302">
        <v>7.0431572008113595E-4</v>
      </c>
      <c r="V253" s="17"/>
      <c r="W253" s="37" t="s">
        <v>242</v>
      </c>
      <c r="X253" s="19">
        <f t="shared" ref="X253:AA253" si="71">AVERAGE(R252:R253)</f>
        <v>5.5636766460262456E-4</v>
      </c>
      <c r="Y253" s="20">
        <f t="shared" si="71"/>
        <v>1.354456626711356E-2</v>
      </c>
      <c r="Z253" s="20">
        <f t="shared" si="71"/>
        <v>0.66982758620000005</v>
      </c>
      <c r="AA253" s="21">
        <f t="shared" si="71"/>
        <v>7.0431572008113595E-4</v>
      </c>
      <c r="AB253" s="22"/>
      <c r="AH253" s="27"/>
      <c r="AI253" s="27"/>
      <c r="AN253" s="58"/>
      <c r="AO253" s="58"/>
      <c r="AP253" s="58"/>
    </row>
    <row r="254" spans="1:42">
      <c r="A254" s="290">
        <v>45</v>
      </c>
      <c r="B254" s="288" t="s">
        <v>3</v>
      </c>
      <c r="C254" s="288" t="s">
        <v>754</v>
      </c>
      <c r="D254" s="312" t="s">
        <v>909</v>
      </c>
      <c r="E254" s="288"/>
      <c r="F254" s="288"/>
      <c r="G254" s="288"/>
      <c r="H254" s="288"/>
      <c r="I254" s="304"/>
      <c r="J254" s="305"/>
      <c r="K254" s="305"/>
      <c r="L254" s="306"/>
      <c r="M254" s="305"/>
      <c r="N254" s="305"/>
      <c r="O254" s="307"/>
      <c r="P254" s="288" t="s">
        <v>910</v>
      </c>
      <c r="Q254" s="288" t="s">
        <v>3</v>
      </c>
      <c r="R254" s="302">
        <v>3.1768969669081215E-3</v>
      </c>
      <c r="S254" s="302">
        <v>7.9342514827706236E-3</v>
      </c>
      <c r="T254" s="315">
        <v>9.3849999999999998</v>
      </c>
      <c r="U254" s="302">
        <v>4.8200000000000001E-4</v>
      </c>
      <c r="V254" s="48"/>
      <c r="W254" s="18"/>
      <c r="X254" s="19"/>
      <c r="Y254" s="20"/>
      <c r="Z254" s="20"/>
      <c r="AA254" s="21"/>
      <c r="AB254" s="22"/>
      <c r="AH254" s="27"/>
      <c r="AI254" s="27"/>
      <c r="AN254" s="58"/>
      <c r="AO254" s="58"/>
      <c r="AP254" s="58"/>
    </row>
    <row r="255" spans="1:42">
      <c r="A255" s="288">
        <v>257</v>
      </c>
      <c r="B255" s="288" t="s">
        <v>911</v>
      </c>
      <c r="C255" s="288" t="s">
        <v>903</v>
      </c>
      <c r="D255" s="312" t="s">
        <v>909</v>
      </c>
      <c r="E255" s="288" t="s">
        <v>903</v>
      </c>
      <c r="F255" s="288" t="s">
        <v>911</v>
      </c>
      <c r="G255" s="311" t="s">
        <v>1656</v>
      </c>
      <c r="H255" s="288"/>
      <c r="I255" s="304">
        <v>1.5085859519408502E-3</v>
      </c>
      <c r="J255" s="305">
        <v>3.1939309919901404E-2</v>
      </c>
      <c r="K255" s="305">
        <v>3.4426229508196721E-5</v>
      </c>
      <c r="L255" s="306">
        <v>4935</v>
      </c>
      <c r="M255" s="305">
        <f t="shared" ref="M255:M261" si="72">L255/1000</f>
        <v>4.9349999999999996</v>
      </c>
      <c r="N255" s="305">
        <f t="shared" ref="N255:N258" si="73">L255/1000</f>
        <v>4.9349999999999996</v>
      </c>
      <c r="O255" s="307">
        <v>5.7826098360655735E-4</v>
      </c>
      <c r="P255" s="288" t="s">
        <v>913</v>
      </c>
      <c r="Q255" s="288" t="s">
        <v>911</v>
      </c>
      <c r="R255" s="302">
        <v>1.5085859519408502E-3</v>
      </c>
      <c r="S255" s="302">
        <v>3.1939309919901404E-2</v>
      </c>
      <c r="T255" s="302">
        <v>4.9349999999999996</v>
      </c>
      <c r="U255" s="302">
        <v>5.7826098360655735E-4</v>
      </c>
      <c r="V255" s="17"/>
      <c r="W255" s="18"/>
      <c r="X255" s="19"/>
      <c r="Y255" s="20"/>
      <c r="Z255" s="20"/>
      <c r="AA255" s="21"/>
      <c r="AB255" s="22"/>
      <c r="AH255" s="27"/>
      <c r="AI255" s="27"/>
      <c r="AN255" s="58"/>
      <c r="AO255" s="58"/>
      <c r="AP255" s="58"/>
    </row>
    <row r="256" spans="1:42">
      <c r="A256" s="288">
        <v>258</v>
      </c>
      <c r="B256" s="288" t="s">
        <v>914</v>
      </c>
      <c r="C256" s="288" t="s">
        <v>903</v>
      </c>
      <c r="D256" s="312" t="s">
        <v>909</v>
      </c>
      <c r="E256" s="288" t="s">
        <v>915</v>
      </c>
      <c r="F256" s="288"/>
      <c r="G256" s="323" t="s">
        <v>1615</v>
      </c>
      <c r="H256" s="288"/>
      <c r="I256" s="304">
        <v>8.1081081081081077E-4</v>
      </c>
      <c r="J256" s="305">
        <v>2.8510934410257097E-2</v>
      </c>
      <c r="K256" s="305">
        <v>2.8378378378378378E-5</v>
      </c>
      <c r="L256" s="306">
        <v>165</v>
      </c>
      <c r="M256" s="305">
        <f t="shared" si="72"/>
        <v>0.16500000000000001</v>
      </c>
      <c r="N256" s="305">
        <f t="shared" si="73"/>
        <v>0.16500000000000001</v>
      </c>
      <c r="O256" s="307">
        <v>3.5750594594594591E-4</v>
      </c>
      <c r="P256" s="288" t="s">
        <v>916</v>
      </c>
      <c r="Q256" s="288" t="s">
        <v>914</v>
      </c>
      <c r="R256" s="302">
        <v>8.1081081081081077E-4</v>
      </c>
      <c r="S256" s="302">
        <v>2.8510934410257097E-2</v>
      </c>
      <c r="T256" s="302">
        <v>0.16500000000000001</v>
      </c>
      <c r="U256" s="302">
        <v>3.5750594594594591E-4</v>
      </c>
      <c r="V256" s="17"/>
      <c r="W256" s="18"/>
      <c r="X256" s="19"/>
      <c r="Y256" s="20"/>
      <c r="Z256" s="20"/>
      <c r="AA256" s="21"/>
      <c r="AB256" s="22"/>
      <c r="AH256" s="27"/>
      <c r="AI256" s="27"/>
      <c r="AN256" s="58"/>
      <c r="AO256" s="58"/>
      <c r="AP256" s="58"/>
    </row>
    <row r="257" spans="1:64">
      <c r="A257" s="290">
        <v>259</v>
      </c>
      <c r="B257" s="288" t="s">
        <v>917</v>
      </c>
      <c r="C257" s="288" t="s">
        <v>903</v>
      </c>
      <c r="D257" s="312" t="s">
        <v>909</v>
      </c>
      <c r="E257" s="288" t="s">
        <v>903</v>
      </c>
      <c r="F257" s="288" t="s">
        <v>917</v>
      </c>
      <c r="G257" s="323" t="s">
        <v>912</v>
      </c>
      <c r="H257" s="288"/>
      <c r="I257" s="304">
        <v>5.8916802021295798E-4</v>
      </c>
      <c r="J257" s="305">
        <v>1.0256873007279099E-2</v>
      </c>
      <c r="K257" s="305">
        <v>3.2911392405063288E-5</v>
      </c>
      <c r="L257" s="306">
        <v>186</v>
      </c>
      <c r="M257" s="305">
        <f t="shared" si="72"/>
        <v>0.186</v>
      </c>
      <c r="N257" s="305">
        <f t="shared" si="73"/>
        <v>0.186</v>
      </c>
      <c r="O257" s="307">
        <v>1.6743949367088607E-4</v>
      </c>
      <c r="P257" s="288" t="s">
        <v>918</v>
      </c>
      <c r="Q257" s="288" t="s">
        <v>917</v>
      </c>
      <c r="R257" s="302">
        <v>5.8916802021295798E-4</v>
      </c>
      <c r="S257" s="302">
        <v>1.0256873007279099E-2</v>
      </c>
      <c r="T257" s="302">
        <v>0.186</v>
      </c>
      <c r="U257" s="302">
        <v>1.6743949367088607E-4</v>
      </c>
      <c r="V257" s="17"/>
      <c r="W257" s="18"/>
      <c r="X257" s="19"/>
      <c r="Y257" s="20"/>
      <c r="Z257" s="20"/>
      <c r="AA257" s="21"/>
      <c r="AB257" s="22"/>
      <c r="AH257" s="27"/>
      <c r="AI257" s="27"/>
      <c r="AN257" s="58"/>
      <c r="AO257" s="58"/>
      <c r="AP257" s="58"/>
    </row>
    <row r="258" spans="1:64">
      <c r="A258" s="288">
        <v>260</v>
      </c>
      <c r="B258" s="288" t="s">
        <v>199</v>
      </c>
      <c r="C258" s="288" t="s">
        <v>903</v>
      </c>
      <c r="D258" s="312" t="s">
        <v>909</v>
      </c>
      <c r="E258" s="288" t="s">
        <v>909</v>
      </c>
      <c r="F258" s="303" t="s">
        <v>919</v>
      </c>
      <c r="G258" s="288" t="s">
        <v>920</v>
      </c>
      <c r="H258" s="288"/>
      <c r="I258" s="304">
        <v>5.4980000000000003E-4</v>
      </c>
      <c r="J258" s="305">
        <v>1.010611E-2</v>
      </c>
      <c r="K258" s="305">
        <v>3.4146341463414633E-5</v>
      </c>
      <c r="L258" s="306">
        <v>1327</v>
      </c>
      <c r="M258" s="305">
        <f t="shared" si="72"/>
        <v>1.327</v>
      </c>
      <c r="N258" s="305">
        <f t="shared" si="73"/>
        <v>1.327</v>
      </c>
      <c r="O258" s="307">
        <v>1.3442804878048784E-4</v>
      </c>
      <c r="P258" s="288" t="s">
        <v>921</v>
      </c>
      <c r="Q258" s="288" t="s">
        <v>199</v>
      </c>
      <c r="R258" s="315">
        <v>5.4980000000000003E-4</v>
      </c>
      <c r="S258" s="315">
        <v>1.010611E-2</v>
      </c>
      <c r="T258" s="315">
        <v>1.327</v>
      </c>
      <c r="U258" s="315">
        <v>1.3442804878048784E-4</v>
      </c>
      <c r="V258" s="73"/>
      <c r="W258" s="18"/>
      <c r="X258" s="19"/>
      <c r="Y258" s="20"/>
      <c r="Z258" s="20"/>
      <c r="AA258" s="21"/>
      <c r="AB258" s="22"/>
      <c r="AH258" s="27"/>
      <c r="AI258" s="27"/>
      <c r="AN258" s="58"/>
      <c r="AO258" s="58"/>
      <c r="AP258" s="58"/>
    </row>
    <row r="259" spans="1:64">
      <c r="A259" s="290">
        <v>261</v>
      </c>
      <c r="B259" s="288" t="s">
        <v>922</v>
      </c>
      <c r="C259" s="288" t="s">
        <v>903</v>
      </c>
      <c r="D259" s="312" t="s">
        <v>909</v>
      </c>
      <c r="E259" s="288" t="s">
        <v>909</v>
      </c>
      <c r="F259" s="303" t="s">
        <v>919</v>
      </c>
      <c r="G259" s="288" t="s">
        <v>923</v>
      </c>
      <c r="H259" s="288"/>
      <c r="I259" s="304">
        <v>4.6934146341463416E-4</v>
      </c>
      <c r="J259" s="305">
        <v>8.6271670731707314E-3</v>
      </c>
      <c r="K259" s="305">
        <v>2.9149315883402736E-5</v>
      </c>
      <c r="L259" s="306">
        <v>1327</v>
      </c>
      <c r="M259" s="305">
        <f t="shared" si="72"/>
        <v>1.327</v>
      </c>
      <c r="N259" s="305">
        <v>1.132804878</v>
      </c>
      <c r="O259" s="307">
        <v>1.1475565139797742E-4</v>
      </c>
      <c r="P259" s="288" t="s">
        <v>924</v>
      </c>
      <c r="Q259" s="288" t="s">
        <v>922</v>
      </c>
      <c r="R259" s="302">
        <v>4.6934146341463416E-4</v>
      </c>
      <c r="S259" s="302">
        <v>8.6271670731707314E-3</v>
      </c>
      <c r="T259" s="302">
        <v>1.132804878</v>
      </c>
      <c r="U259" s="302">
        <v>1.1475565139797742E-4</v>
      </c>
      <c r="V259" s="17"/>
      <c r="W259" s="18"/>
      <c r="X259" s="19"/>
      <c r="Y259" s="20"/>
      <c r="Z259" s="20"/>
      <c r="AA259" s="21"/>
      <c r="AB259" s="22"/>
      <c r="AH259" s="27"/>
      <c r="AI259" s="27"/>
      <c r="AN259" s="58"/>
      <c r="AO259" s="58"/>
      <c r="AP259" s="58"/>
    </row>
    <row r="260" spans="1:64">
      <c r="A260" s="288">
        <v>262</v>
      </c>
      <c r="B260" s="288" t="s">
        <v>925</v>
      </c>
      <c r="C260" s="288" t="s">
        <v>903</v>
      </c>
      <c r="D260" s="312" t="s">
        <v>909</v>
      </c>
      <c r="E260" s="288" t="s">
        <v>903</v>
      </c>
      <c r="F260" s="288" t="s">
        <v>925</v>
      </c>
      <c r="G260" s="288" t="s">
        <v>1014</v>
      </c>
      <c r="H260" s="288"/>
      <c r="I260" s="304">
        <v>2.14888098999473E-3</v>
      </c>
      <c r="J260" s="305">
        <v>5.1770668773038403E-2</v>
      </c>
      <c r="K260" s="305">
        <v>4.6666666666666665E-5</v>
      </c>
      <c r="L260" s="306">
        <v>7703</v>
      </c>
      <c r="M260" s="305">
        <f t="shared" si="72"/>
        <v>7.7030000000000003</v>
      </c>
      <c r="N260" s="305">
        <f t="shared" ref="N260:N261" si="74">L260/1000</f>
        <v>7.7030000000000003</v>
      </c>
      <c r="O260" s="307">
        <v>6.8588177777777789E-4</v>
      </c>
      <c r="P260" s="288" t="s">
        <v>926</v>
      </c>
      <c r="Q260" s="288" t="s">
        <v>925</v>
      </c>
      <c r="R260" s="302">
        <v>2.14888098999473E-3</v>
      </c>
      <c r="S260" s="302">
        <v>5.1770668773038403E-2</v>
      </c>
      <c r="T260" s="302">
        <v>7.7030000000000003</v>
      </c>
      <c r="U260" s="302">
        <v>6.8588177777777789E-4</v>
      </c>
      <c r="V260" s="17"/>
      <c r="W260" s="18"/>
      <c r="X260" s="19"/>
      <c r="Y260" s="20"/>
      <c r="Z260" s="20"/>
      <c r="AA260" s="21"/>
      <c r="AB260" s="22"/>
      <c r="AH260" s="27"/>
      <c r="AI260" s="27"/>
      <c r="AN260" s="58"/>
      <c r="AO260" s="58"/>
      <c r="AP260" s="58"/>
    </row>
    <row r="261" spans="1:64">
      <c r="A261" s="288">
        <v>263</v>
      </c>
      <c r="B261" s="288" t="s">
        <v>927</v>
      </c>
      <c r="C261" s="288" t="s">
        <v>903</v>
      </c>
      <c r="D261" s="312" t="s">
        <v>909</v>
      </c>
      <c r="E261" s="288" t="s">
        <v>928</v>
      </c>
      <c r="F261" s="288" t="s">
        <v>174</v>
      </c>
      <c r="G261" s="288" t="s">
        <v>929</v>
      </c>
      <c r="H261" s="288"/>
      <c r="I261" s="304">
        <v>2.8944733420025999E-4</v>
      </c>
      <c r="J261" s="305">
        <v>9.8179453836150891E-3</v>
      </c>
      <c r="K261" s="305">
        <v>1.0639011302594951E-5</v>
      </c>
      <c r="L261" s="306">
        <v>557</v>
      </c>
      <c r="M261" s="305">
        <f t="shared" si="72"/>
        <v>0.55700000000000005</v>
      </c>
      <c r="N261" s="305">
        <f t="shared" si="74"/>
        <v>0.55700000000000005</v>
      </c>
      <c r="O261" s="307">
        <v>1.4697466666666669E-4</v>
      </c>
      <c r="P261" s="288" t="s">
        <v>930</v>
      </c>
      <c r="Q261" s="288" t="s">
        <v>927</v>
      </c>
      <c r="R261" s="302">
        <v>2.8944733420025999E-4</v>
      </c>
      <c r="S261" s="302">
        <v>9.8179453836150891E-3</v>
      </c>
      <c r="T261" s="302">
        <v>0.55700000000000005</v>
      </c>
      <c r="U261" s="302">
        <v>1.4697466666666669E-4</v>
      </c>
      <c r="V261" s="17"/>
      <c r="W261" s="18"/>
      <c r="X261" s="19"/>
      <c r="Y261" s="20"/>
      <c r="Z261" s="20"/>
      <c r="AA261" s="21"/>
      <c r="AB261" s="22"/>
      <c r="AH261" s="27"/>
      <c r="AI261" s="27"/>
      <c r="AN261" s="58"/>
      <c r="AO261" s="58"/>
      <c r="AP261" s="58"/>
    </row>
    <row r="262" spans="1:64">
      <c r="A262" s="290">
        <v>265</v>
      </c>
      <c r="B262" s="288" t="s">
        <v>931</v>
      </c>
      <c r="C262" s="288" t="s">
        <v>903</v>
      </c>
      <c r="D262" s="312" t="s">
        <v>909</v>
      </c>
      <c r="E262" s="288"/>
      <c r="F262" s="288"/>
      <c r="G262" s="288"/>
      <c r="H262" s="288"/>
      <c r="I262" s="304"/>
      <c r="J262" s="305"/>
      <c r="K262" s="305"/>
      <c r="L262" s="306"/>
      <c r="M262" s="305"/>
      <c r="N262" s="305"/>
      <c r="O262" s="307"/>
      <c r="P262" s="288" t="s">
        <v>932</v>
      </c>
      <c r="Q262" s="288" t="s">
        <v>931</v>
      </c>
      <c r="R262" s="302">
        <v>1.3414244624024099E-3</v>
      </c>
      <c r="S262" s="302">
        <v>1.61713007350591E-2</v>
      </c>
      <c r="T262" s="302">
        <v>0.186</v>
      </c>
      <c r="U262" s="302">
        <v>1.3227719999999999E-4</v>
      </c>
      <c r="V262" s="17"/>
      <c r="W262" s="18"/>
      <c r="X262" s="19"/>
      <c r="Y262" s="20"/>
      <c r="Z262" s="20"/>
      <c r="AA262" s="21"/>
      <c r="AB262" s="22"/>
      <c r="AH262" s="27"/>
      <c r="AI262" s="27"/>
      <c r="AN262" s="58"/>
      <c r="AO262" s="58"/>
      <c r="AP262" s="58"/>
    </row>
    <row r="263" spans="1:64">
      <c r="A263" s="288">
        <v>266</v>
      </c>
      <c r="B263" s="288" t="s">
        <v>933</v>
      </c>
      <c r="C263" s="288" t="s">
        <v>903</v>
      </c>
      <c r="D263" s="312" t="s">
        <v>909</v>
      </c>
      <c r="E263" s="288" t="s">
        <v>174</v>
      </c>
      <c r="F263" s="289" t="s">
        <v>934</v>
      </c>
      <c r="G263" s="311" t="s">
        <v>1657</v>
      </c>
      <c r="H263" s="288"/>
      <c r="I263" s="304">
        <v>1.6146898803046799E-3</v>
      </c>
      <c r="J263" s="305">
        <v>2.6750090678273501E-2</v>
      </c>
      <c r="K263" s="305">
        <v>9.3103448275862075E-5</v>
      </c>
      <c r="L263" s="306">
        <v>1280</v>
      </c>
      <c r="M263" s="305">
        <f t="shared" ref="M263:M269" si="75">L263/1000</f>
        <v>1.28</v>
      </c>
      <c r="N263" s="305">
        <v>0.57619335350000001</v>
      </c>
      <c r="O263" s="307">
        <v>1.0896397701149426E-3</v>
      </c>
      <c r="P263" s="289" t="s">
        <v>935</v>
      </c>
      <c r="Q263" s="288" t="s">
        <v>933</v>
      </c>
      <c r="R263" s="302">
        <v>1.6146898803046799E-3</v>
      </c>
      <c r="S263" s="302">
        <v>2.6750090678273501E-2</v>
      </c>
      <c r="T263" s="302">
        <v>0.57619335350000001</v>
      </c>
      <c r="U263" s="302">
        <v>1.0896397701149426E-3</v>
      </c>
      <c r="V263" s="17"/>
      <c r="W263" s="18"/>
      <c r="X263" s="19"/>
      <c r="Y263" s="20"/>
      <c r="Z263" s="20"/>
      <c r="AA263" s="21"/>
      <c r="AB263" s="22"/>
      <c r="AH263" s="27"/>
      <c r="AI263" s="27"/>
      <c r="AN263" s="58"/>
      <c r="AO263" s="58"/>
      <c r="AP263" s="58"/>
    </row>
    <row r="264" spans="1:64">
      <c r="A264" s="288">
        <v>267</v>
      </c>
      <c r="B264" s="288" t="s">
        <v>936</v>
      </c>
      <c r="C264" s="288" t="s">
        <v>903</v>
      </c>
      <c r="D264" s="312" t="s">
        <v>909</v>
      </c>
      <c r="E264" s="288" t="s">
        <v>174</v>
      </c>
      <c r="F264" s="289" t="s">
        <v>937</v>
      </c>
      <c r="G264" s="322" t="s">
        <v>1658</v>
      </c>
      <c r="H264" s="288"/>
      <c r="I264" s="304">
        <v>3.5869956401399267E-3</v>
      </c>
      <c r="J264" s="305">
        <v>5.9424698083949859E-2</v>
      </c>
      <c r="K264" s="305">
        <v>2.0682712335107616E-4</v>
      </c>
      <c r="L264" s="306">
        <v>1280</v>
      </c>
      <c r="M264" s="305">
        <f t="shared" si="75"/>
        <v>1.28</v>
      </c>
      <c r="N264" s="305">
        <f t="shared" ref="N264:N269" si="76">L264/1000</f>
        <v>1.28</v>
      </c>
      <c r="O264" s="307">
        <v>2.4206091537452754E-3</v>
      </c>
      <c r="P264" s="289" t="s">
        <v>938</v>
      </c>
      <c r="Q264" s="288" t="s">
        <v>936</v>
      </c>
      <c r="R264" s="302">
        <v>3.5869956401399267E-3</v>
      </c>
      <c r="S264" s="302">
        <v>5.9424698083949859E-2</v>
      </c>
      <c r="T264" s="302">
        <v>1.28</v>
      </c>
      <c r="U264" s="302">
        <v>2.4206091537452754E-3</v>
      </c>
      <c r="V264" s="17"/>
      <c r="W264" s="18"/>
      <c r="X264" s="19"/>
      <c r="Y264" s="20"/>
      <c r="Z264" s="20"/>
      <c r="AA264" s="21"/>
      <c r="AB264" s="22"/>
      <c r="AH264" s="27"/>
      <c r="AI264" s="27"/>
      <c r="AN264" s="58"/>
      <c r="AO264" s="58"/>
      <c r="AP264" s="58"/>
    </row>
    <row r="265" spans="1:64">
      <c r="A265" s="288">
        <v>268</v>
      </c>
      <c r="B265" s="288" t="s">
        <v>939</v>
      </c>
      <c r="C265" s="288" t="s">
        <v>903</v>
      </c>
      <c r="D265" s="312" t="s">
        <v>909</v>
      </c>
      <c r="E265" s="288" t="s">
        <v>174</v>
      </c>
      <c r="F265" s="288" t="s">
        <v>174</v>
      </c>
      <c r="G265" s="288" t="s">
        <v>940</v>
      </c>
      <c r="H265" s="288"/>
      <c r="I265" s="304">
        <v>2.9479682138342099E-3</v>
      </c>
      <c r="J265" s="305">
        <v>2.6157365601107697E-2</v>
      </c>
      <c r="K265" s="305">
        <v>6.1363636363636362E-5</v>
      </c>
      <c r="L265" s="306">
        <v>174</v>
      </c>
      <c r="M265" s="305">
        <f t="shared" si="75"/>
        <v>0.17399999999999999</v>
      </c>
      <c r="N265" s="305">
        <f t="shared" si="76"/>
        <v>0.17399999999999999</v>
      </c>
      <c r="O265" s="307">
        <v>3.5908655328750923E-4</v>
      </c>
      <c r="P265" s="288" t="s">
        <v>941</v>
      </c>
      <c r="Q265" s="288" t="s">
        <v>939</v>
      </c>
      <c r="R265" s="302">
        <v>2.9479682138342099E-3</v>
      </c>
      <c r="S265" s="302">
        <v>2.6157365601107697E-2</v>
      </c>
      <c r="T265" s="302">
        <v>0.17399999999999999</v>
      </c>
      <c r="U265" s="302">
        <v>3.5908655328750923E-4</v>
      </c>
      <c r="V265" s="17"/>
      <c r="W265" s="18"/>
      <c r="X265" s="19"/>
      <c r="Y265" s="20"/>
      <c r="Z265" s="20"/>
      <c r="AA265" s="21"/>
      <c r="AB265" s="22"/>
      <c r="AH265" s="27"/>
      <c r="AI265" s="27"/>
      <c r="AN265" s="58"/>
      <c r="AO265" s="58"/>
      <c r="AP265" s="58"/>
    </row>
    <row r="266" spans="1:64">
      <c r="A266" s="290">
        <v>269</v>
      </c>
      <c r="B266" s="288" t="s">
        <v>942</v>
      </c>
      <c r="C266" s="288" t="s">
        <v>903</v>
      </c>
      <c r="D266" s="312" t="s">
        <v>909</v>
      </c>
      <c r="E266" s="288" t="s">
        <v>942</v>
      </c>
      <c r="F266" s="288" t="s">
        <v>943</v>
      </c>
      <c r="G266" s="288" t="s">
        <v>944</v>
      </c>
      <c r="H266" s="288"/>
      <c r="I266" s="304">
        <v>1.6008592628529055E-3</v>
      </c>
      <c r="J266" s="305">
        <v>2.7809552079870136E-2</v>
      </c>
      <c r="K266" s="305">
        <v>1.8918918918918918E-5</v>
      </c>
      <c r="L266" s="306">
        <v>243</v>
      </c>
      <c r="M266" s="305">
        <f t="shared" si="75"/>
        <v>0.24299999999999999</v>
      </c>
      <c r="N266" s="305">
        <f t="shared" si="76"/>
        <v>0.24299999999999999</v>
      </c>
      <c r="O266" s="307">
        <v>4.4688243243243248E-4</v>
      </c>
      <c r="P266" s="288" t="s">
        <v>945</v>
      </c>
      <c r="Q266" s="288" t="s">
        <v>942</v>
      </c>
      <c r="R266" s="302">
        <v>1.6008592628529055E-3</v>
      </c>
      <c r="S266" s="302">
        <v>2.7809552079870136E-2</v>
      </c>
      <c r="T266" s="302">
        <v>0.24299999999999999</v>
      </c>
      <c r="U266" s="302">
        <v>4.4688243243243248E-4</v>
      </c>
      <c r="V266" s="17"/>
      <c r="W266" s="18"/>
      <c r="X266" s="19"/>
      <c r="Y266" s="20"/>
      <c r="Z266" s="20"/>
      <c r="AA266" s="21"/>
      <c r="AB266" s="22"/>
      <c r="AH266" s="27"/>
      <c r="AI266" s="27"/>
      <c r="AN266" s="58"/>
      <c r="AO266" s="58"/>
      <c r="AP266" s="58"/>
    </row>
    <row r="267" spans="1:64">
      <c r="A267" s="288">
        <v>270</v>
      </c>
      <c r="B267" s="288" t="s">
        <v>946</v>
      </c>
      <c r="C267" s="288" t="s">
        <v>903</v>
      </c>
      <c r="D267" s="312" t="s">
        <v>909</v>
      </c>
      <c r="E267" s="288" t="s">
        <v>947</v>
      </c>
      <c r="F267" s="288" t="s">
        <v>948</v>
      </c>
      <c r="G267" s="288" t="s">
        <v>949</v>
      </c>
      <c r="H267" s="288"/>
      <c r="I267" s="304">
        <v>3.7676505686062725E-4</v>
      </c>
      <c r="J267" s="305">
        <v>3.9594550949037634E-3</v>
      </c>
      <c r="K267" s="305">
        <v>1.4354578172208981E-4</v>
      </c>
      <c r="L267" s="306">
        <v>504</v>
      </c>
      <c r="M267" s="305">
        <f t="shared" si="75"/>
        <v>0.504</v>
      </c>
      <c r="N267" s="305">
        <f t="shared" si="76"/>
        <v>0.504</v>
      </c>
      <c r="O267" s="307">
        <v>2.6812945945945945E-4</v>
      </c>
      <c r="P267" s="288" t="s">
        <v>950</v>
      </c>
      <c r="Q267" s="288" t="s">
        <v>946</v>
      </c>
      <c r="R267" s="302">
        <v>3.7676505686062725E-4</v>
      </c>
      <c r="S267" s="302">
        <v>3.9594550949037634E-3</v>
      </c>
      <c r="T267" s="302">
        <v>0.504</v>
      </c>
      <c r="U267" s="302">
        <v>2.6812945945945945E-4</v>
      </c>
      <c r="V267" s="17"/>
      <c r="W267" s="18"/>
      <c r="X267" s="19"/>
      <c r="Y267" s="20"/>
      <c r="Z267" s="20"/>
      <c r="AA267" s="21"/>
      <c r="AB267" s="22"/>
      <c r="AH267" s="27"/>
      <c r="AI267" s="27"/>
      <c r="AN267" s="58"/>
      <c r="AO267" s="58"/>
      <c r="AP267" s="58"/>
    </row>
    <row r="268" spans="1:64">
      <c r="A268" s="290">
        <v>271</v>
      </c>
      <c r="B268" s="288" t="s">
        <v>951</v>
      </c>
      <c r="C268" s="288" t="s">
        <v>903</v>
      </c>
      <c r="D268" s="312" t="s">
        <v>909</v>
      </c>
      <c r="E268" s="288" t="s">
        <v>947</v>
      </c>
      <c r="F268" s="288" t="s">
        <v>948</v>
      </c>
      <c r="G268" s="288" t="s">
        <v>952</v>
      </c>
      <c r="H268" s="288"/>
      <c r="I268" s="304">
        <v>8.4376421531463298E-4</v>
      </c>
      <c r="J268" s="305">
        <v>1.9553955016426601E-2</v>
      </c>
      <c r="K268" s="305">
        <v>4.1791044776119397E-5</v>
      </c>
      <c r="L268" s="306">
        <v>504</v>
      </c>
      <c r="M268" s="305">
        <f t="shared" si="75"/>
        <v>0.504</v>
      </c>
      <c r="N268" s="305">
        <f t="shared" si="76"/>
        <v>0.504</v>
      </c>
      <c r="O268" s="307">
        <v>1.3820005970149253E-3</v>
      </c>
      <c r="P268" s="288" t="s">
        <v>953</v>
      </c>
      <c r="Q268" s="288" t="s">
        <v>951</v>
      </c>
      <c r="R268" s="302">
        <v>8.4376421531463298E-4</v>
      </c>
      <c r="S268" s="302">
        <v>1.9553955016426601E-2</v>
      </c>
      <c r="T268" s="302">
        <v>0.504</v>
      </c>
      <c r="U268" s="302">
        <v>1.3820005970149253E-3</v>
      </c>
      <c r="V268" s="17"/>
      <c r="W268" s="18"/>
      <c r="X268" s="19"/>
      <c r="Y268" s="20"/>
      <c r="Z268" s="20"/>
      <c r="AA268" s="21"/>
      <c r="AB268" s="22"/>
      <c r="AH268" s="27"/>
      <c r="AI268" s="27"/>
      <c r="AN268" s="58"/>
      <c r="AO268" s="58"/>
      <c r="AP268" s="58"/>
    </row>
    <row r="269" spans="1:64">
      <c r="A269" s="288">
        <v>273</v>
      </c>
      <c r="B269" s="288" t="s">
        <v>954</v>
      </c>
      <c r="C269" s="289" t="s">
        <v>903</v>
      </c>
      <c r="D269" s="312" t="s">
        <v>909</v>
      </c>
      <c r="E269" s="288" t="s">
        <v>174</v>
      </c>
      <c r="F269" s="288" t="s">
        <v>174</v>
      </c>
      <c r="G269" s="288" t="s">
        <v>955</v>
      </c>
      <c r="H269" s="288"/>
      <c r="I269" s="304">
        <v>3.7811354536082471E-4</v>
      </c>
      <c r="J269" s="305">
        <v>2.268041237113402E-2</v>
      </c>
      <c r="K269" s="305">
        <v>4.52688206185567E-6</v>
      </c>
      <c r="L269" s="306">
        <v>1612</v>
      </c>
      <c r="M269" s="305">
        <f t="shared" si="75"/>
        <v>1.6120000000000001</v>
      </c>
      <c r="N269" s="305">
        <f t="shared" si="76"/>
        <v>1.6120000000000001</v>
      </c>
      <c r="O269" s="307">
        <v>2.1958762886597938E-3</v>
      </c>
      <c r="P269" s="289" t="s">
        <v>956</v>
      </c>
      <c r="Q269" s="288" t="s">
        <v>954</v>
      </c>
      <c r="R269" s="302">
        <v>3.7811354536082471E-4</v>
      </c>
      <c r="S269" s="302">
        <v>2.268041237113402E-2</v>
      </c>
      <c r="T269" s="302">
        <v>1.6120000000000001</v>
      </c>
      <c r="U269" s="302">
        <v>2.1958762886597938E-3</v>
      </c>
      <c r="V269" s="17"/>
      <c r="W269" s="75"/>
      <c r="X269" s="19"/>
      <c r="Y269" s="20"/>
      <c r="Z269" s="20"/>
      <c r="AA269" s="21"/>
      <c r="AB269" s="22"/>
      <c r="AH269" s="72"/>
      <c r="AI269" s="72"/>
      <c r="AJ269" s="2"/>
      <c r="AK269" s="2"/>
      <c r="AL269" s="2"/>
      <c r="AM269" s="2"/>
      <c r="AN269" s="76"/>
      <c r="AO269" s="76"/>
      <c r="AP269" s="76"/>
      <c r="AQ269" s="2"/>
      <c r="AR269" s="2"/>
      <c r="AS269" s="2"/>
      <c r="AT269" s="2"/>
      <c r="AU269" s="2"/>
      <c r="AV269" s="2"/>
      <c r="AW269" s="2"/>
      <c r="AX269" s="2"/>
      <c r="AY269" s="2"/>
      <c r="AZ269" s="2"/>
      <c r="BA269" s="2"/>
      <c r="BB269" s="2"/>
      <c r="BC269" s="2"/>
      <c r="BD269" s="2"/>
      <c r="BE269" s="2"/>
      <c r="BF269" s="2"/>
      <c r="BG269" s="2"/>
      <c r="BH269" s="2"/>
      <c r="BI269" s="2"/>
      <c r="BJ269" s="2"/>
      <c r="BK269" s="2"/>
      <c r="BL269" s="2"/>
    </row>
    <row r="270" spans="1:64">
      <c r="A270" s="288">
        <v>274</v>
      </c>
      <c r="B270" s="288" t="s">
        <v>957</v>
      </c>
      <c r="C270" s="289" t="s">
        <v>903</v>
      </c>
      <c r="D270" s="312" t="s">
        <v>909</v>
      </c>
      <c r="E270" s="288"/>
      <c r="F270" s="288"/>
      <c r="G270" s="288"/>
      <c r="H270" s="288"/>
      <c r="I270" s="304"/>
      <c r="J270" s="305"/>
      <c r="K270" s="305"/>
      <c r="L270" s="306"/>
      <c r="M270" s="305"/>
      <c r="N270" s="305"/>
      <c r="O270" s="307"/>
      <c r="P270" s="289" t="s">
        <v>958</v>
      </c>
      <c r="Q270" s="288" t="s">
        <v>957</v>
      </c>
      <c r="R270" s="302">
        <v>8.7933382642052256E-4</v>
      </c>
      <c r="S270" s="302">
        <v>5.2745145049148887E-2</v>
      </c>
      <c r="T270" s="302">
        <v>3.7488372093023257</v>
      </c>
      <c r="U270" s="302">
        <v>5.1066890433948695E-3</v>
      </c>
      <c r="V270" s="17"/>
      <c r="W270" s="75"/>
      <c r="X270" s="19"/>
      <c r="Y270" s="20"/>
      <c r="Z270" s="20"/>
      <c r="AA270" s="21"/>
      <c r="AB270" s="22"/>
      <c r="AH270" s="72"/>
      <c r="AI270" s="72"/>
      <c r="AJ270" s="2"/>
      <c r="AK270" s="2"/>
      <c r="AL270" s="2"/>
      <c r="AM270" s="2"/>
      <c r="AN270" s="76"/>
      <c r="AO270" s="76"/>
      <c r="AP270" s="76"/>
      <c r="AQ270" s="2"/>
      <c r="AR270" s="2"/>
      <c r="AS270" s="2"/>
      <c r="AT270" s="2"/>
      <c r="AU270" s="2"/>
      <c r="AV270" s="2"/>
      <c r="AW270" s="2"/>
      <c r="AX270" s="2"/>
      <c r="AY270" s="2"/>
      <c r="AZ270" s="2"/>
      <c r="BA270" s="2"/>
      <c r="BB270" s="2"/>
      <c r="BC270" s="2"/>
      <c r="BD270" s="2"/>
      <c r="BE270" s="2"/>
      <c r="BF270" s="2"/>
      <c r="BG270" s="2"/>
      <c r="BH270" s="2"/>
      <c r="BI270" s="2"/>
      <c r="BJ270" s="2"/>
      <c r="BK270" s="2"/>
      <c r="BL270" s="2"/>
    </row>
    <row r="271" spans="1:64">
      <c r="A271" s="290">
        <v>275</v>
      </c>
      <c r="B271" s="288" t="s">
        <v>959</v>
      </c>
      <c r="C271" s="289" t="s">
        <v>903</v>
      </c>
      <c r="D271" s="312" t="s">
        <v>909</v>
      </c>
      <c r="E271" s="288" t="s">
        <v>942</v>
      </c>
      <c r="F271" s="288" t="s">
        <v>943</v>
      </c>
      <c r="G271" s="288" t="s">
        <v>944</v>
      </c>
      <c r="H271" s="288"/>
      <c r="I271" s="304">
        <v>1.7421115507516912E-3</v>
      </c>
      <c r="J271" s="305">
        <v>3.0263336086917496E-2</v>
      </c>
      <c r="K271" s="305">
        <v>2.0588235294117645E-5</v>
      </c>
      <c r="L271" s="306">
        <v>160</v>
      </c>
      <c r="M271" s="305">
        <f t="shared" ref="M271:M272" si="77">L271/1000</f>
        <v>0.16</v>
      </c>
      <c r="N271" s="305">
        <f t="shared" ref="N271:N272" si="78">L271/1000</f>
        <v>0.16</v>
      </c>
      <c r="O271" s="307">
        <v>4.8631323529411762E-4</v>
      </c>
      <c r="P271" s="288" t="s">
        <v>960</v>
      </c>
      <c r="Q271" s="288" t="s">
        <v>959</v>
      </c>
      <c r="R271" s="302">
        <v>1.7421115507516912E-3</v>
      </c>
      <c r="S271" s="302">
        <v>3.0263336086917496E-2</v>
      </c>
      <c r="T271" s="302">
        <v>0.16</v>
      </c>
      <c r="U271" s="302">
        <v>4.8631323529411762E-4</v>
      </c>
      <c r="V271" s="17"/>
      <c r="W271" s="18"/>
      <c r="X271" s="19"/>
      <c r="Y271" s="20"/>
      <c r="Z271" s="20"/>
      <c r="AA271" s="21"/>
      <c r="AB271" s="22"/>
      <c r="AH271" s="27"/>
      <c r="AI271" s="27"/>
      <c r="AN271" s="58"/>
      <c r="AO271" s="58"/>
      <c r="AP271" s="58"/>
    </row>
    <row r="272" spans="1:64">
      <c r="A272" s="288">
        <v>276</v>
      </c>
      <c r="B272" s="288" t="s">
        <v>961</v>
      </c>
      <c r="C272" s="289" t="s">
        <v>903</v>
      </c>
      <c r="D272" s="312" t="s">
        <v>909</v>
      </c>
      <c r="E272" s="288" t="s">
        <v>962</v>
      </c>
      <c r="F272" s="288"/>
      <c r="G272" s="289" t="s">
        <v>912</v>
      </c>
      <c r="H272" s="289"/>
      <c r="I272" s="304">
        <v>4.7754773653722405E-4</v>
      </c>
      <c r="J272" s="305">
        <v>9.9048845026103102E-3</v>
      </c>
      <c r="K272" s="305">
        <v>1.1598405219282348E-5</v>
      </c>
      <c r="L272" s="306">
        <v>971</v>
      </c>
      <c r="M272" s="305">
        <f t="shared" si="77"/>
        <v>0.97099999999999997</v>
      </c>
      <c r="N272" s="305">
        <f t="shared" si="78"/>
        <v>0.97099999999999997</v>
      </c>
      <c r="O272" s="307">
        <v>9.908404494382022E-5</v>
      </c>
      <c r="P272" s="288" t="s">
        <v>963</v>
      </c>
      <c r="Q272" s="288" t="s">
        <v>961</v>
      </c>
      <c r="R272" s="302">
        <v>4.7754773653722405E-4</v>
      </c>
      <c r="S272" s="302">
        <v>9.9048845026103102E-3</v>
      </c>
      <c r="T272" s="302">
        <v>0.97099999999999997</v>
      </c>
      <c r="U272" s="302">
        <v>9.908404494382022E-5</v>
      </c>
      <c r="V272" s="17"/>
      <c r="W272" s="18"/>
      <c r="X272" s="19"/>
      <c r="Y272" s="20"/>
      <c r="Z272" s="20"/>
      <c r="AA272" s="21"/>
      <c r="AB272" s="22"/>
      <c r="AH272" s="27"/>
      <c r="AI272" s="27"/>
      <c r="AN272" s="58"/>
      <c r="AO272" s="58"/>
      <c r="AP272" s="58"/>
    </row>
    <row r="273" spans="1:64">
      <c r="A273" s="288">
        <v>277</v>
      </c>
      <c r="B273" s="288" t="s">
        <v>964</v>
      </c>
      <c r="C273" s="289" t="s">
        <v>903</v>
      </c>
      <c r="D273" s="312" t="s">
        <v>909</v>
      </c>
      <c r="E273" s="288"/>
      <c r="F273" s="288"/>
      <c r="G273" s="289"/>
      <c r="H273" s="289"/>
      <c r="I273" s="304"/>
      <c r="J273" s="305"/>
      <c r="K273" s="305"/>
      <c r="L273" s="306"/>
      <c r="M273" s="305"/>
      <c r="N273" s="305"/>
      <c r="O273" s="307"/>
      <c r="P273" s="288" t="s">
        <v>965</v>
      </c>
      <c r="Q273" s="288" t="s">
        <v>964</v>
      </c>
      <c r="R273" s="302">
        <v>6.122406878682359E-4</v>
      </c>
      <c r="S273" s="302">
        <v>1.2698569875141423E-2</v>
      </c>
      <c r="T273" s="302">
        <v>1.2448717948717949</v>
      </c>
      <c r="U273" s="302">
        <v>1.2703082685105156E-4</v>
      </c>
      <c r="V273" s="17"/>
      <c r="W273" s="18"/>
      <c r="X273" s="19"/>
      <c r="Y273" s="20"/>
      <c r="Z273" s="20"/>
      <c r="AA273" s="21"/>
      <c r="AB273" s="22"/>
      <c r="AH273" s="27"/>
      <c r="AI273" s="27"/>
      <c r="AN273" s="58"/>
      <c r="AO273" s="58"/>
      <c r="AP273" s="58"/>
    </row>
    <row r="274" spans="1:64">
      <c r="A274" s="290">
        <v>279</v>
      </c>
      <c r="B274" s="288" t="s">
        <v>966</v>
      </c>
      <c r="C274" s="289" t="s">
        <v>903</v>
      </c>
      <c r="D274" s="312" t="s">
        <v>909</v>
      </c>
      <c r="E274" s="288" t="s">
        <v>967</v>
      </c>
      <c r="F274" s="288" t="s">
        <v>968</v>
      </c>
      <c r="G274" s="288" t="s">
        <v>969</v>
      </c>
      <c r="H274" s="288"/>
      <c r="I274" s="318">
        <v>8.2739760746147598E-4</v>
      </c>
      <c r="J274" s="288">
        <v>1.9887131659999998E-2</v>
      </c>
      <c r="K274" s="288">
        <v>5.1219512195121953E-5</v>
      </c>
      <c r="L274" s="315">
        <v>1119</v>
      </c>
      <c r="M274" s="305">
        <f t="shared" ref="M274:M276" si="79">L274/1000</f>
        <v>1.119</v>
      </c>
      <c r="N274" s="305">
        <f t="shared" ref="N274:N276" si="80">L274/1000</f>
        <v>1.119</v>
      </c>
      <c r="O274" s="324">
        <v>3.2262731707317075E-4</v>
      </c>
      <c r="P274" s="288" t="s">
        <v>970</v>
      </c>
      <c r="Q274" s="288" t="s">
        <v>966</v>
      </c>
      <c r="R274" s="302">
        <v>8.2739760746147598E-4</v>
      </c>
      <c r="S274" s="302">
        <v>1.9887131659999998E-2</v>
      </c>
      <c r="T274" s="302">
        <v>1.119</v>
      </c>
      <c r="U274" s="302">
        <v>3.2262731707317075E-4</v>
      </c>
      <c r="V274" s="17"/>
      <c r="W274" s="18"/>
      <c r="X274" s="19"/>
      <c r="Y274" s="20"/>
      <c r="Z274" s="20"/>
      <c r="AA274" s="21"/>
      <c r="AB274" s="22"/>
      <c r="AH274" s="27"/>
      <c r="AI274" s="27"/>
      <c r="AN274" s="58"/>
      <c r="AO274" s="58"/>
      <c r="AP274" s="58"/>
    </row>
    <row r="275" spans="1:64">
      <c r="A275" s="288">
        <v>280</v>
      </c>
      <c r="B275" s="288" t="s">
        <v>971</v>
      </c>
      <c r="C275" s="289" t="s">
        <v>903</v>
      </c>
      <c r="D275" s="312" t="s">
        <v>909</v>
      </c>
      <c r="E275" s="288" t="s">
        <v>967</v>
      </c>
      <c r="F275" s="288" t="s">
        <v>968</v>
      </c>
      <c r="G275" s="288" t="s">
        <v>969</v>
      </c>
      <c r="H275" s="288"/>
      <c r="I275" s="304">
        <v>7.9819533896283569E-4</v>
      </c>
      <c r="J275" s="305">
        <v>1.9185232895529411E-2</v>
      </c>
      <c r="K275" s="305">
        <v>4.9411764705882349E-5</v>
      </c>
      <c r="L275" s="306">
        <v>1109</v>
      </c>
      <c r="M275" s="305">
        <f t="shared" si="79"/>
        <v>1.109</v>
      </c>
      <c r="N275" s="305">
        <f t="shared" si="80"/>
        <v>1.109</v>
      </c>
      <c r="O275" s="307">
        <v>3.1124047058823527E-4</v>
      </c>
      <c r="P275" s="288" t="s">
        <v>972</v>
      </c>
      <c r="Q275" s="288" t="s">
        <v>971</v>
      </c>
      <c r="R275" s="302">
        <v>7.9819533896283569E-4</v>
      </c>
      <c r="S275" s="302">
        <v>1.9185232895529411E-2</v>
      </c>
      <c r="T275" s="302">
        <v>1.109</v>
      </c>
      <c r="U275" s="302">
        <v>3.1124047058823527E-4</v>
      </c>
      <c r="V275" s="17"/>
      <c r="W275" s="18"/>
      <c r="X275" s="19"/>
      <c r="Y275" s="20"/>
      <c r="Z275" s="20"/>
      <c r="AA275" s="21"/>
      <c r="AB275" s="22"/>
      <c r="AH275" s="27"/>
      <c r="AI275" s="27"/>
      <c r="AN275" s="58"/>
      <c r="AO275" s="58"/>
      <c r="AP275" s="58"/>
    </row>
    <row r="276" spans="1:64">
      <c r="A276" s="288">
        <v>282</v>
      </c>
      <c r="B276" s="288" t="s">
        <v>973</v>
      </c>
      <c r="C276" s="289" t="s">
        <v>903</v>
      </c>
      <c r="D276" s="312" t="s">
        <v>909</v>
      </c>
      <c r="E276" s="288" t="s">
        <v>967</v>
      </c>
      <c r="F276" s="288" t="s">
        <v>968</v>
      </c>
      <c r="G276" s="288" t="s">
        <v>969</v>
      </c>
      <c r="H276" s="288"/>
      <c r="I276" s="318">
        <v>8.2739760746147598E-4</v>
      </c>
      <c r="J276" s="288">
        <v>1.9887131659999998E-2</v>
      </c>
      <c r="K276" s="288">
        <v>5.1219512195121953E-5</v>
      </c>
      <c r="L276" s="315">
        <v>1119</v>
      </c>
      <c r="M276" s="305">
        <f t="shared" si="79"/>
        <v>1.119</v>
      </c>
      <c r="N276" s="305">
        <f t="shared" si="80"/>
        <v>1.119</v>
      </c>
      <c r="O276" s="324">
        <v>3.2262731707317075E-4</v>
      </c>
      <c r="P276" s="288" t="s">
        <v>974</v>
      </c>
      <c r="Q276" s="288" t="s">
        <v>973</v>
      </c>
      <c r="R276" s="302">
        <v>8.2739760746147598E-4</v>
      </c>
      <c r="S276" s="302">
        <v>1.9887131659999998E-2</v>
      </c>
      <c r="T276" s="302">
        <v>1.119</v>
      </c>
      <c r="U276" s="302">
        <v>3.2262731707317075E-4</v>
      </c>
      <c r="V276" s="17"/>
      <c r="W276" s="18"/>
      <c r="X276" s="19"/>
      <c r="Y276" s="20"/>
      <c r="Z276" s="20"/>
      <c r="AA276" s="21"/>
      <c r="AB276" s="22"/>
      <c r="AH276" s="27"/>
      <c r="AI276" s="27"/>
      <c r="AN276" s="58"/>
      <c r="AO276" s="58"/>
      <c r="AP276" s="58"/>
    </row>
    <row r="277" spans="1:64">
      <c r="A277" s="288">
        <v>283</v>
      </c>
      <c r="B277" s="288" t="s">
        <v>975</v>
      </c>
      <c r="C277" s="289" t="s">
        <v>903</v>
      </c>
      <c r="D277" s="312" t="s">
        <v>909</v>
      </c>
      <c r="E277" s="288"/>
      <c r="F277" s="288"/>
      <c r="G277" s="288"/>
      <c r="H277" s="288"/>
      <c r="I277" s="318"/>
      <c r="J277" s="288"/>
      <c r="K277" s="288"/>
      <c r="L277" s="315"/>
      <c r="M277" s="305"/>
      <c r="N277" s="305"/>
      <c r="O277" s="324"/>
      <c r="P277" s="288" t="s">
        <v>976</v>
      </c>
      <c r="Q277" s="288" t="s">
        <v>975</v>
      </c>
      <c r="R277" s="302">
        <v>1.1334213800842138E-3</v>
      </c>
      <c r="S277" s="302">
        <v>2.7242646109589038E-2</v>
      </c>
      <c r="T277" s="302">
        <v>1.5328767123287672</v>
      </c>
      <c r="U277" s="302">
        <v>4.419552288673572E-4</v>
      </c>
      <c r="V277" s="17"/>
      <c r="W277" s="18"/>
      <c r="X277" s="19"/>
      <c r="Y277" s="20"/>
      <c r="Z277" s="20"/>
      <c r="AA277" s="21"/>
      <c r="AB277" s="22"/>
      <c r="AH277" s="27"/>
      <c r="AI277" s="27"/>
      <c r="AN277" s="58"/>
      <c r="AO277" s="58"/>
      <c r="AP277" s="58"/>
    </row>
    <row r="278" spans="1:64">
      <c r="A278" s="288">
        <v>286</v>
      </c>
      <c r="B278" s="288" t="s">
        <v>977</v>
      </c>
      <c r="C278" s="289" t="s">
        <v>903</v>
      </c>
      <c r="D278" s="312" t="s">
        <v>909</v>
      </c>
      <c r="E278" s="288" t="s">
        <v>903</v>
      </c>
      <c r="F278" s="289" t="s">
        <v>978</v>
      </c>
      <c r="G278" s="311" t="s">
        <v>1659</v>
      </c>
      <c r="H278" s="288"/>
      <c r="I278" s="304">
        <v>1.1846358545111501E-3</v>
      </c>
      <c r="J278" s="305">
        <v>2.0579068539103899E-2</v>
      </c>
      <c r="K278" s="305">
        <v>1.8918918918918918E-5</v>
      </c>
      <c r="L278" s="306">
        <v>763</v>
      </c>
      <c r="M278" s="305">
        <f t="shared" ref="M278:M282" si="81">L278/1000</f>
        <v>0.76300000000000001</v>
      </c>
      <c r="N278" s="305">
        <f>L278/1000</f>
        <v>0.76300000000000001</v>
      </c>
      <c r="O278" s="307">
        <v>4.4688243243243248E-4</v>
      </c>
      <c r="P278" s="289" t="s">
        <v>979</v>
      </c>
      <c r="Q278" s="288" t="s">
        <v>977</v>
      </c>
      <c r="R278" s="302">
        <v>1.1846358545111501E-3</v>
      </c>
      <c r="S278" s="302">
        <v>2.0579068539103899E-2</v>
      </c>
      <c r="T278" s="302">
        <v>0.76300000000000001</v>
      </c>
      <c r="U278" s="302">
        <v>4.4688243243243248E-4</v>
      </c>
      <c r="V278" s="17"/>
      <c r="W278" s="18"/>
      <c r="X278" s="19"/>
      <c r="Y278" s="20"/>
      <c r="Z278" s="20"/>
      <c r="AA278" s="21"/>
      <c r="AB278" s="22"/>
      <c r="AH278" s="27"/>
      <c r="AI278" s="27"/>
      <c r="AN278" s="58"/>
      <c r="AO278" s="58"/>
      <c r="AP278" s="58"/>
    </row>
    <row r="279" spans="1:64">
      <c r="A279" s="288">
        <v>287</v>
      </c>
      <c r="B279" s="288" t="s">
        <v>980</v>
      </c>
      <c r="C279" s="289" t="s">
        <v>903</v>
      </c>
      <c r="D279" s="312" t="s">
        <v>909</v>
      </c>
      <c r="E279" s="288"/>
      <c r="F279" s="288"/>
      <c r="G279" s="311" t="s">
        <v>1660</v>
      </c>
      <c r="H279" s="288"/>
      <c r="I279" s="304">
        <v>1.54102049293825E-3</v>
      </c>
      <c r="J279" s="305">
        <v>1.7250530785562625E-2</v>
      </c>
      <c r="K279" s="305">
        <v>3.1578947368421058E-5</v>
      </c>
      <c r="L279" s="306">
        <v>322</v>
      </c>
      <c r="M279" s="305">
        <f t="shared" si="81"/>
        <v>0.32200000000000001</v>
      </c>
      <c r="N279" s="305">
        <v>0.40250000000000002</v>
      </c>
      <c r="O279" s="307">
        <v>4.641305263157895E-4</v>
      </c>
      <c r="P279" s="288" t="s">
        <v>981</v>
      </c>
      <c r="Q279" s="288" t="s">
        <v>980</v>
      </c>
      <c r="R279" s="302">
        <v>1.54102049293825E-3</v>
      </c>
      <c r="S279" s="302">
        <v>1.7250530785562625E-2</v>
      </c>
      <c r="T279" s="302">
        <v>0.40250000000000002</v>
      </c>
      <c r="U279" s="302">
        <v>4.641305263157895E-4</v>
      </c>
      <c r="V279" s="17"/>
      <c r="W279" s="18"/>
      <c r="X279" s="19"/>
      <c r="Y279" s="20"/>
      <c r="Z279" s="20"/>
      <c r="AA279" s="21"/>
      <c r="AB279" s="22"/>
      <c r="AH279" s="27"/>
      <c r="AI279" s="27"/>
      <c r="AN279" s="58"/>
      <c r="AO279" s="58"/>
      <c r="AP279" s="58"/>
    </row>
    <row r="280" spans="1:64">
      <c r="A280" s="288">
        <v>288</v>
      </c>
      <c r="B280" s="288" t="s">
        <v>982</v>
      </c>
      <c r="C280" s="289" t="s">
        <v>903</v>
      </c>
      <c r="D280" s="312" t="s">
        <v>909</v>
      </c>
      <c r="E280" s="288" t="s">
        <v>174</v>
      </c>
      <c r="F280" s="288" t="s">
        <v>174</v>
      </c>
      <c r="G280" s="288" t="s">
        <v>983</v>
      </c>
      <c r="H280" s="288"/>
      <c r="I280" s="304">
        <v>9.1578394306682969E-4</v>
      </c>
      <c r="J280" s="305">
        <v>9.6000593053856727E-3</v>
      </c>
      <c r="K280" s="305">
        <v>3.9975990396158467E-7</v>
      </c>
      <c r="L280" s="306">
        <v>433</v>
      </c>
      <c r="M280" s="305">
        <f t="shared" si="81"/>
        <v>0.433</v>
      </c>
      <c r="N280" s="305">
        <v>0.4712058824</v>
      </c>
      <c r="O280" s="307">
        <v>5.141025630252102E-6</v>
      </c>
      <c r="P280" s="288" t="s">
        <v>984</v>
      </c>
      <c r="Q280" s="288" t="s">
        <v>982</v>
      </c>
      <c r="R280" s="302">
        <v>9.1578394306682969E-4</v>
      </c>
      <c r="S280" s="302">
        <v>9.6000593053856727E-3</v>
      </c>
      <c r="T280" s="302">
        <v>0.4712058824</v>
      </c>
      <c r="U280" s="302">
        <v>5.141025630252102E-6</v>
      </c>
      <c r="V280" s="17"/>
      <c r="W280" s="18"/>
      <c r="X280" s="19"/>
      <c r="Y280" s="20"/>
      <c r="Z280" s="20"/>
      <c r="AA280" s="21"/>
      <c r="AB280" s="22"/>
      <c r="AH280" s="27"/>
      <c r="AI280" s="27"/>
      <c r="AN280" s="58"/>
      <c r="AO280" s="58"/>
      <c r="AP280" s="58"/>
    </row>
    <row r="281" spans="1:64">
      <c r="A281" s="290">
        <v>289</v>
      </c>
      <c r="B281" s="288" t="s">
        <v>985</v>
      </c>
      <c r="C281" s="289" t="s">
        <v>903</v>
      </c>
      <c r="D281" s="312" t="s">
        <v>909</v>
      </c>
      <c r="E281" s="288"/>
      <c r="F281" s="288" t="s">
        <v>986</v>
      </c>
      <c r="G281" s="288" t="s">
        <v>987</v>
      </c>
      <c r="H281" s="288"/>
      <c r="I281" s="304">
        <v>2.3903313565692558E-3</v>
      </c>
      <c r="J281" s="305">
        <v>1.6108439629147951E-2</v>
      </c>
      <c r="K281" s="305">
        <v>5.4732558139534892E-6</v>
      </c>
      <c r="L281" s="306">
        <v>494</v>
      </c>
      <c r="M281" s="305">
        <f t="shared" si="81"/>
        <v>0.49399999999999999</v>
      </c>
      <c r="N281" s="305">
        <v>0.51697674419999995</v>
      </c>
      <c r="O281" s="307">
        <v>4.5852507083720935E-4</v>
      </c>
      <c r="P281" s="288" t="s">
        <v>988</v>
      </c>
      <c r="Q281" s="288" t="s">
        <v>985</v>
      </c>
      <c r="R281" s="302">
        <v>2.3903313565692558E-3</v>
      </c>
      <c r="S281" s="302">
        <v>1.6108439629147951E-2</v>
      </c>
      <c r="T281" s="302">
        <v>0.51697674419999995</v>
      </c>
      <c r="U281" s="302">
        <v>4.5852507083720935E-4</v>
      </c>
      <c r="V281" s="17"/>
      <c r="W281" s="18"/>
      <c r="X281" s="19"/>
      <c r="Y281" s="20"/>
      <c r="Z281" s="20"/>
      <c r="AA281" s="21"/>
      <c r="AB281" s="22"/>
      <c r="AH281" s="27"/>
      <c r="AI281" s="27"/>
      <c r="AN281" s="58"/>
      <c r="AO281" s="58"/>
      <c r="AP281" s="58"/>
    </row>
    <row r="282" spans="1:64">
      <c r="A282" s="288">
        <v>290</v>
      </c>
      <c r="B282" s="288" t="s">
        <v>989</v>
      </c>
      <c r="C282" s="289" t="s">
        <v>903</v>
      </c>
      <c r="D282" s="312" t="s">
        <v>909</v>
      </c>
      <c r="E282" s="288" t="s">
        <v>174</v>
      </c>
      <c r="F282" s="288" t="s">
        <v>174</v>
      </c>
      <c r="G282" s="311" t="s">
        <v>1661</v>
      </c>
      <c r="H282" s="288"/>
      <c r="I282" s="304">
        <v>4.8057057617005398E-4</v>
      </c>
      <c r="J282" s="305">
        <v>9.8776215197699697E-3</v>
      </c>
      <c r="K282" s="305">
        <v>6.3E-5</v>
      </c>
      <c r="L282" s="306">
        <v>421</v>
      </c>
      <c r="M282" s="305">
        <f t="shared" si="81"/>
        <v>0.42099999999999999</v>
      </c>
      <c r="N282" s="305">
        <f>L282/1000</f>
        <v>0.42099999999999999</v>
      </c>
      <c r="O282" s="307">
        <v>2.4250819999999999E-4</v>
      </c>
      <c r="P282" s="288" t="s">
        <v>990</v>
      </c>
      <c r="Q282" s="288" t="s">
        <v>989</v>
      </c>
      <c r="R282" s="302">
        <v>4.8057057617005398E-4</v>
      </c>
      <c r="S282" s="302">
        <v>9.8776215197699697E-3</v>
      </c>
      <c r="T282" s="302">
        <v>0.42099999999999999</v>
      </c>
      <c r="U282" s="302">
        <v>2.4250819999999999E-4</v>
      </c>
      <c r="V282" s="48"/>
      <c r="W282" s="18"/>
      <c r="X282" s="19"/>
      <c r="Y282" s="20"/>
      <c r="Z282" s="20"/>
      <c r="AA282" s="21"/>
      <c r="AB282" s="22"/>
      <c r="AH282" s="27"/>
      <c r="AI282" s="27"/>
      <c r="AN282" s="58"/>
      <c r="AO282" s="58"/>
      <c r="AP282" s="58"/>
    </row>
    <row r="283" spans="1:64">
      <c r="A283" s="290">
        <v>291</v>
      </c>
      <c r="B283" s="288" t="s">
        <v>991</v>
      </c>
      <c r="C283" s="289" t="s">
        <v>903</v>
      </c>
      <c r="D283" s="312" t="s">
        <v>909</v>
      </c>
      <c r="E283" s="288"/>
      <c r="F283" s="288"/>
      <c r="G283" s="288"/>
      <c r="H283" s="288"/>
      <c r="I283" s="304"/>
      <c r="J283" s="305"/>
      <c r="K283" s="305"/>
      <c r="L283" s="306"/>
      <c r="M283" s="305"/>
      <c r="N283" s="305"/>
      <c r="O283" s="307"/>
      <c r="P283" s="288" t="s">
        <v>992</v>
      </c>
      <c r="Q283" s="288" t="s">
        <v>991</v>
      </c>
      <c r="R283" s="302">
        <v>4.8057057617005398E-4</v>
      </c>
      <c r="S283" s="302">
        <v>9.8776215197699697E-3</v>
      </c>
      <c r="T283" s="302">
        <v>0.42099999999999999</v>
      </c>
      <c r="U283" s="302">
        <v>2.4250819999999999E-4</v>
      </c>
      <c r="V283" s="48"/>
      <c r="W283" s="18"/>
      <c r="X283" s="19"/>
      <c r="Y283" s="20"/>
      <c r="Z283" s="20"/>
      <c r="AA283" s="21"/>
      <c r="AB283" s="22"/>
      <c r="AH283" s="27"/>
      <c r="AI283" s="27"/>
      <c r="AN283" s="58"/>
      <c r="AO283" s="58"/>
      <c r="AP283" s="58"/>
    </row>
    <row r="284" spans="1:64">
      <c r="A284" s="288">
        <v>292</v>
      </c>
      <c r="B284" s="288" t="s">
        <v>993</v>
      </c>
      <c r="C284" s="289" t="s">
        <v>903</v>
      </c>
      <c r="D284" s="312" t="s">
        <v>909</v>
      </c>
      <c r="E284" s="288" t="s">
        <v>909</v>
      </c>
      <c r="F284" s="288" t="s">
        <v>993</v>
      </c>
      <c r="G284" s="288" t="s">
        <v>994</v>
      </c>
      <c r="H284" s="288"/>
      <c r="I284" s="304">
        <v>2.8834234570203239E-3</v>
      </c>
      <c r="J284" s="305">
        <v>5.9265729118619818E-2</v>
      </c>
      <c r="K284" s="305">
        <v>3.7800000000000003E-4</v>
      </c>
      <c r="L284" s="306">
        <v>383</v>
      </c>
      <c r="M284" s="305">
        <f>L284/1000</f>
        <v>0.38300000000000001</v>
      </c>
      <c r="N284" s="305">
        <f>L284/1000</f>
        <v>0.38300000000000001</v>
      </c>
      <c r="O284" s="307">
        <v>1.4550492E-3</v>
      </c>
      <c r="P284" s="288" t="s">
        <v>995</v>
      </c>
      <c r="Q284" s="288" t="s">
        <v>993</v>
      </c>
      <c r="R284" s="302">
        <v>2.8834234570203239E-3</v>
      </c>
      <c r="S284" s="302">
        <v>5.9265729118619818E-2</v>
      </c>
      <c r="T284" s="302">
        <v>0.38300000000000001</v>
      </c>
      <c r="U284" s="302">
        <v>1.4550492E-3</v>
      </c>
      <c r="V284" s="17"/>
      <c r="W284" s="67" t="s">
        <v>247</v>
      </c>
      <c r="X284" s="19">
        <f t="shared" ref="X284:AA284" si="82">AVERAGE(R254:R284)</f>
        <v>1.2712094776305219E-3</v>
      </c>
      <c r="Y284" s="20">
        <f t="shared" si="82"/>
        <v>2.2446556063453339E-2</v>
      </c>
      <c r="Z284" s="20">
        <f t="shared" si="82"/>
        <v>1.4468795669226735</v>
      </c>
      <c r="AA284" s="21">
        <f t="shared" si="82"/>
        <v>6.9335677941490697E-4</v>
      </c>
      <c r="AB284" s="22"/>
      <c r="AH284" s="27"/>
      <c r="AI284" s="27"/>
      <c r="AN284" s="58"/>
      <c r="AO284" s="58"/>
      <c r="AP284" s="58"/>
    </row>
    <row r="285" spans="1:64">
      <c r="A285" s="288">
        <v>264</v>
      </c>
      <c r="B285" s="288" t="s">
        <v>996</v>
      </c>
      <c r="C285" s="288" t="s">
        <v>903</v>
      </c>
      <c r="D285" s="312" t="s">
        <v>1662</v>
      </c>
      <c r="E285" s="288"/>
      <c r="F285" s="288"/>
      <c r="G285" s="288"/>
      <c r="H285" s="288"/>
      <c r="I285" s="304"/>
      <c r="J285" s="305"/>
      <c r="K285" s="305"/>
      <c r="L285" s="306"/>
      <c r="M285" s="305"/>
      <c r="N285" s="305"/>
      <c r="O285" s="307"/>
      <c r="P285" s="288" t="s">
        <v>997</v>
      </c>
      <c r="Q285" s="288" t="s">
        <v>996</v>
      </c>
      <c r="R285" s="302">
        <v>2.7613275682704806E-2</v>
      </c>
      <c r="S285" s="302">
        <v>0.93663198959687954</v>
      </c>
      <c r="T285" s="302">
        <v>53.137800000000006</v>
      </c>
      <c r="U285" s="302">
        <v>1.4021383200000003E-2</v>
      </c>
      <c r="V285" s="17"/>
      <c r="W285" s="18"/>
      <c r="X285" s="19"/>
      <c r="Y285" s="20"/>
      <c r="Z285" s="20"/>
      <c r="AA285" s="21"/>
      <c r="AB285" s="22"/>
      <c r="AH285" s="27"/>
      <c r="AI285" s="27"/>
      <c r="AN285" s="58"/>
      <c r="AO285" s="58"/>
      <c r="AP285" s="58"/>
    </row>
    <row r="286" spans="1:64">
      <c r="A286" s="288">
        <v>278</v>
      </c>
      <c r="B286" s="288" t="s">
        <v>998</v>
      </c>
      <c r="C286" s="289" t="s">
        <v>903</v>
      </c>
      <c r="D286" s="312" t="s">
        <v>1662</v>
      </c>
      <c r="E286" s="288" t="s">
        <v>903</v>
      </c>
      <c r="F286" s="289" t="s">
        <v>999</v>
      </c>
      <c r="G286" s="288" t="s">
        <v>1000</v>
      </c>
      <c r="H286" s="288"/>
      <c r="I286" s="304">
        <v>9.6087130421459947E-3</v>
      </c>
      <c r="J286" s="305">
        <v>0.16691911148384272</v>
      </c>
      <c r="K286" s="305">
        <v>1.5345345345345343E-4</v>
      </c>
      <c r="L286" s="306">
        <v>522</v>
      </c>
      <c r="M286" s="305">
        <f>L286/1000</f>
        <v>0.52200000000000002</v>
      </c>
      <c r="N286" s="305">
        <v>10.382222219999999</v>
      </c>
      <c r="O286" s="307">
        <v>3.6247130630630633E-3</v>
      </c>
      <c r="P286" s="289" t="s">
        <v>1001</v>
      </c>
      <c r="Q286" s="288" t="s">
        <v>998</v>
      </c>
      <c r="R286" s="302">
        <v>9.6087130421459947E-3</v>
      </c>
      <c r="S286" s="302">
        <v>0.16691911148384272</v>
      </c>
      <c r="T286" s="302">
        <v>10.382222219999999</v>
      </c>
      <c r="U286" s="302">
        <v>3.6247130630630633E-3</v>
      </c>
      <c r="V286" s="17"/>
      <c r="W286" s="18"/>
      <c r="X286" s="19"/>
      <c r="Y286" s="20"/>
      <c r="Z286" s="20"/>
      <c r="AA286" s="21"/>
      <c r="AB286" s="22"/>
      <c r="AH286" s="27"/>
      <c r="AI286" s="27"/>
      <c r="AN286" s="58"/>
      <c r="AO286" s="58"/>
      <c r="AP286" s="58"/>
    </row>
    <row r="287" spans="1:64" ht="16" thickBot="1">
      <c r="A287" s="325">
        <v>281</v>
      </c>
      <c r="B287" s="326" t="s">
        <v>1002</v>
      </c>
      <c r="C287" s="327" t="s">
        <v>903</v>
      </c>
      <c r="D287" s="328" t="s">
        <v>1662</v>
      </c>
      <c r="E287" s="326"/>
      <c r="F287" s="326"/>
      <c r="G287" s="326"/>
      <c r="H287" s="326"/>
      <c r="I287" s="329"/>
      <c r="J287" s="330"/>
      <c r="K287" s="330"/>
      <c r="L287" s="331"/>
      <c r="M287" s="330"/>
      <c r="N287" s="330"/>
      <c r="O287" s="332"/>
      <c r="P287" s="326" t="s">
        <v>1003</v>
      </c>
      <c r="Q287" s="326" t="s">
        <v>1002</v>
      </c>
      <c r="R287" s="333">
        <v>8.7256136433204387E-3</v>
      </c>
      <c r="S287" s="333">
        <v>0.20972676954119104</v>
      </c>
      <c r="T287" s="333">
        <v>12.123229813664596</v>
      </c>
      <c r="U287" s="333">
        <v>3.4023802995980998E-3</v>
      </c>
      <c r="V287" s="85"/>
      <c r="W287" s="86"/>
      <c r="X287" s="87"/>
      <c r="Y287" s="88"/>
      <c r="Z287" s="88"/>
      <c r="AA287" s="89"/>
      <c r="AB287" s="90"/>
      <c r="AC287" s="91"/>
      <c r="AD287" s="91"/>
      <c r="AE287" s="91"/>
      <c r="AF287" s="91"/>
      <c r="AG287" s="91"/>
      <c r="AH287" s="92"/>
      <c r="AI287" s="92"/>
      <c r="AJ287" s="91"/>
      <c r="AK287" s="91"/>
      <c r="AL287" s="91"/>
      <c r="AM287" s="91"/>
      <c r="AN287" s="93"/>
      <c r="AO287" s="93"/>
      <c r="AP287" s="93"/>
      <c r="AQ287" s="91"/>
      <c r="AR287" s="91"/>
      <c r="AS287" s="91"/>
      <c r="AT287" s="91"/>
      <c r="AU287" s="91"/>
      <c r="AV287" s="91"/>
      <c r="AW287" s="91"/>
      <c r="AX287" s="91"/>
      <c r="AY287" s="91"/>
      <c r="AZ287" s="91"/>
      <c r="BA287" s="91"/>
      <c r="BB287" s="91"/>
      <c r="BC287" s="91"/>
      <c r="BD287" s="91"/>
      <c r="BE287" s="91"/>
      <c r="BF287" s="91"/>
      <c r="BG287" s="91"/>
      <c r="BH287" s="91"/>
      <c r="BI287" s="91"/>
      <c r="BJ287" s="91"/>
      <c r="BK287" s="91"/>
      <c r="BL287" s="91"/>
    </row>
    <row r="288" spans="1:64" ht="16" thickTop="1">
      <c r="A288" s="2"/>
      <c r="C288" s="2"/>
      <c r="D288" s="2"/>
      <c r="E288" s="2"/>
      <c r="F288" s="2"/>
      <c r="G288" s="2"/>
      <c r="H288" s="2"/>
      <c r="I288" s="32"/>
      <c r="J288" s="33"/>
      <c r="K288" s="33"/>
      <c r="L288" s="34"/>
      <c r="M288" s="34"/>
      <c r="N288" s="35"/>
      <c r="O288" s="36"/>
      <c r="P288" s="16"/>
      <c r="R288" s="17"/>
      <c r="S288" s="17"/>
      <c r="T288" s="17"/>
      <c r="U288" s="17"/>
      <c r="V288" s="17"/>
      <c r="W288" s="18"/>
      <c r="X288" s="42"/>
      <c r="Y288" s="22"/>
      <c r="Z288" s="22"/>
      <c r="AA288" s="94"/>
      <c r="AB288" s="22"/>
      <c r="AH288" s="27"/>
      <c r="AI288" s="27"/>
      <c r="AN288" s="58"/>
      <c r="AO288" s="58"/>
      <c r="AP288" s="58"/>
    </row>
    <row r="289" spans="1:64">
      <c r="A289" s="2"/>
      <c r="B289" s="16"/>
      <c r="C289" s="16"/>
      <c r="D289" s="16"/>
      <c r="E289" s="2"/>
      <c r="F289" s="16"/>
      <c r="G289" s="2"/>
      <c r="H289" s="2"/>
      <c r="I289" s="32"/>
      <c r="J289" s="33"/>
      <c r="K289" s="35"/>
      <c r="L289" s="44"/>
      <c r="M289" s="35"/>
      <c r="N289" s="35"/>
      <c r="O289" s="36"/>
      <c r="P289" s="16"/>
      <c r="Q289" s="16"/>
      <c r="R289" s="17"/>
      <c r="S289" s="17"/>
      <c r="T289" s="17"/>
      <c r="U289" s="17"/>
      <c r="V289" s="17"/>
      <c r="W289" s="18"/>
      <c r="X289" s="42"/>
      <c r="Y289" s="22"/>
      <c r="Z289" s="22"/>
      <c r="AA289" s="94"/>
      <c r="AB289" s="22"/>
      <c r="AH289" s="27"/>
      <c r="AI289" s="27"/>
      <c r="AN289" s="58"/>
      <c r="AO289" s="58"/>
      <c r="AP289" s="58"/>
    </row>
    <row r="290" spans="1:64">
      <c r="A290" s="2"/>
      <c r="C290" s="16"/>
      <c r="D290" s="16"/>
      <c r="G290" s="2"/>
      <c r="H290" s="2"/>
      <c r="I290" s="45"/>
      <c r="J290" s="35"/>
      <c r="K290" s="35"/>
      <c r="L290" s="44"/>
      <c r="M290" s="35"/>
      <c r="N290" s="35"/>
      <c r="O290" s="46"/>
      <c r="P290" s="16"/>
      <c r="R290" s="73"/>
      <c r="S290" s="73"/>
      <c r="T290" s="73"/>
      <c r="U290" s="73"/>
      <c r="V290" s="73"/>
      <c r="W290" s="18"/>
      <c r="X290" s="42"/>
      <c r="Y290" s="22"/>
      <c r="Z290" s="22"/>
      <c r="AA290" s="94"/>
      <c r="AB290" s="22"/>
      <c r="AH290" s="27"/>
      <c r="AI290" s="27"/>
      <c r="AN290" s="58"/>
      <c r="AO290" s="58"/>
      <c r="AP290" s="58"/>
    </row>
    <row r="291" spans="1:64">
      <c r="A291" s="2" t="s">
        <v>1613</v>
      </c>
      <c r="B291" s="2"/>
      <c r="C291" s="2"/>
      <c r="D291" s="2"/>
      <c r="E291" s="2"/>
      <c r="F291" s="2"/>
      <c r="G291" s="16"/>
      <c r="H291" s="2"/>
      <c r="I291" s="32"/>
      <c r="J291" s="33"/>
      <c r="K291" s="35"/>
      <c r="L291" s="44"/>
      <c r="M291" s="34"/>
      <c r="N291" s="35"/>
      <c r="O291" s="36"/>
      <c r="P291" s="2"/>
      <c r="Q291" s="2"/>
      <c r="R291" s="73"/>
      <c r="S291" s="73"/>
      <c r="T291" s="73"/>
      <c r="U291" s="73"/>
      <c r="V291" s="73"/>
      <c r="W291" s="18"/>
      <c r="X291" s="42"/>
      <c r="Y291" s="22"/>
      <c r="Z291" s="22"/>
      <c r="AA291" s="94"/>
      <c r="AB291" s="22"/>
      <c r="AH291" s="27"/>
      <c r="AI291" s="27"/>
      <c r="AN291" s="58"/>
      <c r="AO291" s="58"/>
      <c r="AP291" s="58"/>
    </row>
    <row r="292" spans="1:64">
      <c r="A292" s="2" t="s">
        <v>1614</v>
      </c>
      <c r="B292" s="2"/>
      <c r="C292" s="2"/>
      <c r="D292" s="2"/>
      <c r="E292" s="2"/>
      <c r="F292" s="2"/>
      <c r="G292" s="2"/>
      <c r="H292" s="2"/>
      <c r="I292" s="32"/>
      <c r="J292" s="33"/>
      <c r="K292" s="33"/>
      <c r="L292" s="34"/>
      <c r="M292" s="35"/>
      <c r="N292" s="35"/>
      <c r="O292" s="36"/>
      <c r="P292" s="2"/>
      <c r="Q292" s="2"/>
      <c r="R292" s="17"/>
      <c r="S292" s="17"/>
      <c r="T292" s="17"/>
      <c r="U292" s="17"/>
      <c r="V292" s="17"/>
      <c r="W292" s="18"/>
      <c r="X292" s="42"/>
      <c r="Y292" s="22"/>
      <c r="Z292" s="22"/>
      <c r="AA292" s="94"/>
      <c r="AB292" s="22"/>
      <c r="AH292" s="27"/>
      <c r="AI292" s="27"/>
      <c r="AN292" s="58"/>
      <c r="AO292" s="58"/>
      <c r="AP292" s="58"/>
    </row>
    <row r="293" spans="1:64">
      <c r="A293" s="2"/>
      <c r="I293" s="45"/>
      <c r="J293" s="35"/>
      <c r="K293" s="35"/>
      <c r="L293" s="44"/>
      <c r="M293" s="35"/>
      <c r="N293" s="35"/>
      <c r="O293" s="46"/>
      <c r="R293" s="95"/>
      <c r="S293" s="95"/>
      <c r="T293" s="95"/>
      <c r="U293" s="95"/>
      <c r="V293" s="95"/>
      <c r="W293" s="18"/>
      <c r="X293" s="96"/>
      <c r="Y293" s="97"/>
      <c r="Z293" s="22"/>
      <c r="AA293" s="98"/>
      <c r="AB293" s="97"/>
      <c r="AH293" s="27"/>
      <c r="AI293" s="27"/>
      <c r="AN293" s="58"/>
      <c r="AO293" s="58"/>
      <c r="AP293" s="58"/>
    </row>
    <row r="294" spans="1:64">
      <c r="A294" s="2"/>
      <c r="I294" s="18"/>
      <c r="L294" s="73"/>
      <c r="O294" s="77"/>
      <c r="V294" s="73"/>
      <c r="W294" s="18"/>
      <c r="X294" s="99"/>
      <c r="Y294" s="100"/>
      <c r="Z294" s="22"/>
      <c r="AA294" s="101"/>
      <c r="AB294" s="100"/>
      <c r="AH294" s="72"/>
      <c r="AI294" s="72"/>
      <c r="AJ294" s="2"/>
      <c r="AK294" s="2"/>
      <c r="AL294" s="2"/>
      <c r="AM294" s="2"/>
      <c r="AN294" s="76"/>
      <c r="AO294" s="76"/>
      <c r="AP294" s="76"/>
      <c r="AQ294" s="2"/>
      <c r="AR294" s="2"/>
      <c r="AS294" s="2"/>
      <c r="AT294" s="2"/>
      <c r="AU294" s="2"/>
      <c r="AV294" s="2"/>
      <c r="AW294" s="2"/>
      <c r="AX294" s="2"/>
      <c r="AY294" s="2"/>
      <c r="AZ294" s="2"/>
      <c r="BA294" s="2"/>
      <c r="BB294" s="2"/>
      <c r="BC294" s="2"/>
      <c r="BD294" s="2"/>
      <c r="BE294" s="2"/>
      <c r="BF294" s="2"/>
      <c r="BG294" s="2"/>
      <c r="BH294" s="2"/>
      <c r="BI294" s="2"/>
      <c r="BJ294" s="2"/>
      <c r="BK294" s="2"/>
      <c r="BL294" s="2"/>
    </row>
    <row r="295" spans="1:64">
      <c r="A295" s="4"/>
      <c r="B295" s="2"/>
      <c r="C295" s="16"/>
      <c r="D295" s="16"/>
      <c r="E295" s="2"/>
      <c r="F295" s="16"/>
      <c r="G295" s="2"/>
      <c r="H295" s="2"/>
      <c r="I295" s="32"/>
      <c r="J295" s="33"/>
      <c r="K295" s="33"/>
      <c r="L295" s="44"/>
      <c r="M295" s="35"/>
      <c r="N295" s="35"/>
      <c r="O295" s="36"/>
      <c r="P295" s="16"/>
      <c r="Q295" s="2"/>
      <c r="R295" s="73">
        <v>0</v>
      </c>
      <c r="S295" s="73">
        <v>0</v>
      </c>
      <c r="T295" s="73">
        <v>0</v>
      </c>
      <c r="U295" s="102">
        <v>0</v>
      </c>
      <c r="W295" s="99">
        <v>0</v>
      </c>
      <c r="X295" s="99">
        <v>0</v>
      </c>
      <c r="Y295" s="100">
        <v>0</v>
      </c>
      <c r="Z295" s="100">
        <v>0</v>
      </c>
      <c r="AA295" s="101">
        <v>0</v>
      </c>
      <c r="AB295" s="100"/>
      <c r="AH295" s="72">
        <v>0</v>
      </c>
      <c r="AI295" s="72"/>
      <c r="AJ295" s="72" t="e">
        <f t="shared" ref="AJ295:AJ304" si="83">#REF!/#REF!*AJ296</f>
        <v>#REF!</v>
      </c>
      <c r="AK295" s="2"/>
      <c r="AL295" s="2"/>
      <c r="AM295" s="2"/>
      <c r="AN295" s="76"/>
      <c r="AO295" s="76"/>
      <c r="AP295" s="76"/>
      <c r="AQ295" s="2"/>
      <c r="AR295" s="2"/>
      <c r="AS295" s="2"/>
      <c r="AT295" s="2"/>
      <c r="AU295" s="2"/>
      <c r="AV295" s="2"/>
      <c r="AW295" s="2"/>
      <c r="AX295" s="2"/>
      <c r="AY295" s="2"/>
      <c r="AZ295" s="2"/>
      <c r="BA295" s="2"/>
      <c r="BB295" s="2"/>
      <c r="BC295" s="2"/>
      <c r="BD295" s="2"/>
      <c r="BE295" s="2"/>
      <c r="BF295" s="2"/>
      <c r="BG295" s="2"/>
      <c r="BH295" s="2"/>
      <c r="BI295" s="2"/>
      <c r="BJ295" s="2"/>
      <c r="BK295" s="2"/>
      <c r="BL295" s="2"/>
    </row>
    <row r="296" spans="1:64">
      <c r="A296" s="4"/>
      <c r="B296" s="103"/>
      <c r="I296" s="45"/>
      <c r="J296" s="35"/>
      <c r="K296" s="35"/>
      <c r="L296" s="35"/>
      <c r="M296" s="35"/>
      <c r="N296" s="35"/>
      <c r="O296" s="46"/>
      <c r="P296" s="64"/>
      <c r="Q296" s="103"/>
      <c r="R296" s="64">
        <v>7.3799999999999991E-2</v>
      </c>
      <c r="S296" s="64">
        <v>0.28162483479607547</v>
      </c>
      <c r="T296" s="64">
        <v>8.6624999999999979</v>
      </c>
      <c r="U296" s="104">
        <f t="shared" ref="U296:U304" si="84">W296/W297*U297</f>
        <v>2.7995230732492417E-3</v>
      </c>
      <c r="V296" s="48"/>
      <c r="W296" s="105">
        <v>1</v>
      </c>
      <c r="X296" s="106">
        <f t="shared" ref="X296:X303" si="85">W296/W297*X297</f>
        <v>3.3861574838345967E-2</v>
      </c>
      <c r="Y296" s="106">
        <f t="shared" ref="Y296:AA303" si="86">$W296/$W297*Y297</f>
        <v>5.1142133383528077E-2</v>
      </c>
      <c r="Z296" s="106">
        <f t="shared" si="86"/>
        <v>4.4286857142857139</v>
      </c>
      <c r="AA296" s="106">
        <f t="shared" si="86"/>
        <v>1.9571895717809115E-3</v>
      </c>
      <c r="AB296" s="107"/>
      <c r="AH296" s="27">
        <v>8.6624999999999979</v>
      </c>
      <c r="AI296" s="27"/>
      <c r="AJ296" s="72" t="e">
        <f t="shared" si="83"/>
        <v>#REF!</v>
      </c>
      <c r="AK296" s="2"/>
      <c r="AL296" s="2"/>
      <c r="AM296" s="2"/>
      <c r="AN296" s="58"/>
      <c r="AO296" s="58"/>
      <c r="AP296" s="58"/>
    </row>
    <row r="297" spans="1:64">
      <c r="A297" s="2"/>
      <c r="B297" s="16"/>
      <c r="C297" s="16"/>
      <c r="D297" s="16"/>
      <c r="E297" s="2"/>
      <c r="F297" s="16"/>
      <c r="G297" s="2"/>
      <c r="H297" s="2"/>
      <c r="I297" s="32"/>
      <c r="J297" s="33"/>
      <c r="K297" s="33"/>
      <c r="L297" s="34"/>
      <c r="M297" s="35"/>
      <c r="N297" s="35"/>
      <c r="O297" s="36"/>
      <c r="P297" s="16"/>
      <c r="Q297" s="16"/>
      <c r="R297" s="5">
        <v>0.14759999999999998</v>
      </c>
      <c r="S297" s="108">
        <v>0.56324966959215095</v>
      </c>
      <c r="T297" s="48">
        <v>17.324999999999996</v>
      </c>
      <c r="U297" s="104">
        <f t="shared" si="84"/>
        <v>5.5990461464984834E-3</v>
      </c>
      <c r="W297" s="99">
        <v>2</v>
      </c>
      <c r="X297" s="106">
        <f t="shared" si="85"/>
        <v>6.7723149676691935E-2</v>
      </c>
      <c r="Y297" s="106">
        <f t="shared" si="86"/>
        <v>0.10228426676705615</v>
      </c>
      <c r="Z297" s="106">
        <f t="shared" si="86"/>
        <v>8.8573714285714278</v>
      </c>
      <c r="AA297" s="106">
        <f t="shared" si="86"/>
        <v>3.914379143561823E-3</v>
      </c>
      <c r="AB297" s="100"/>
      <c r="AH297" s="72">
        <v>17.324999999999996</v>
      </c>
      <c r="AI297" s="72"/>
      <c r="AJ297" s="72" t="e">
        <f t="shared" si="83"/>
        <v>#REF!</v>
      </c>
      <c r="AK297" s="2"/>
      <c r="AL297" s="2"/>
      <c r="AM297" s="2"/>
      <c r="AN297" s="76"/>
      <c r="AO297" s="76"/>
      <c r="AP297" s="76"/>
      <c r="AQ297" s="2"/>
      <c r="AR297" s="2"/>
      <c r="AS297" s="2"/>
      <c r="AT297" s="2"/>
      <c r="AU297" s="2"/>
      <c r="AV297" s="2"/>
      <c r="AW297" s="2"/>
      <c r="AX297" s="2"/>
      <c r="AY297" s="2"/>
      <c r="AZ297" s="2"/>
      <c r="BA297" s="2"/>
      <c r="BB297" s="2"/>
      <c r="BC297" s="2"/>
      <c r="BD297" s="2"/>
      <c r="BE297" s="2"/>
      <c r="BF297" s="2"/>
      <c r="BG297" s="2"/>
      <c r="BH297" s="2"/>
      <c r="BI297" s="2"/>
      <c r="BJ297" s="2"/>
      <c r="BK297" s="2"/>
      <c r="BL297" s="2"/>
    </row>
    <row r="298" spans="1:64" ht="16" thickBot="1">
      <c r="A298" s="2"/>
      <c r="B298" s="2"/>
      <c r="C298" s="2"/>
      <c r="D298" s="2"/>
      <c r="E298" s="2"/>
      <c r="F298" s="2"/>
      <c r="G298" s="2"/>
      <c r="H298" s="2"/>
      <c r="I298" s="32"/>
      <c r="J298" s="33"/>
      <c r="K298" s="33"/>
      <c r="L298" s="44"/>
      <c r="M298" s="35"/>
      <c r="N298" s="35"/>
      <c r="O298" s="36"/>
      <c r="P298" s="2"/>
      <c r="Q298" s="2"/>
      <c r="R298" s="64">
        <v>0.22139999999999999</v>
      </c>
      <c r="S298" s="64">
        <v>0.84487450438822642</v>
      </c>
      <c r="T298" s="64">
        <v>25.987499999999997</v>
      </c>
      <c r="U298" s="104">
        <f t="shared" si="84"/>
        <v>8.3985692197477251E-3</v>
      </c>
      <c r="W298" s="99">
        <v>3</v>
      </c>
      <c r="X298" s="106">
        <f t="shared" si="85"/>
        <v>0.10158472451503792</v>
      </c>
      <c r="Y298" s="106">
        <f t="shared" si="86"/>
        <v>0.15342640015058423</v>
      </c>
      <c r="Z298" s="106">
        <f t="shared" si="86"/>
        <v>13.286057142857143</v>
      </c>
      <c r="AA298" s="106">
        <f t="shared" si="86"/>
        <v>5.8715687153427353E-3</v>
      </c>
      <c r="AB298" s="100"/>
      <c r="AH298" s="72">
        <v>25.987499999999997</v>
      </c>
      <c r="AI298" s="72"/>
      <c r="AJ298" s="72" t="e">
        <f t="shared" si="83"/>
        <v>#REF!</v>
      </c>
      <c r="AK298" s="2"/>
      <c r="AL298" s="2"/>
      <c r="AM298" s="2"/>
      <c r="AN298" s="76"/>
      <c r="AO298" s="76"/>
      <c r="AP298" s="76"/>
      <c r="AQ298" s="2"/>
      <c r="AR298" s="2"/>
      <c r="AS298" s="2"/>
      <c r="AT298" s="2"/>
      <c r="AU298" s="2"/>
      <c r="AV298" s="2"/>
      <c r="AW298" s="2"/>
      <c r="AX298" s="2"/>
      <c r="AY298" s="2"/>
      <c r="AZ298" s="2"/>
      <c r="BA298" s="2"/>
      <c r="BB298" s="2"/>
      <c r="BC298" s="2"/>
      <c r="BD298" s="2"/>
      <c r="BE298" s="2"/>
      <c r="BF298" s="2"/>
      <c r="BG298" s="2"/>
      <c r="BH298" s="2"/>
      <c r="BI298" s="2"/>
      <c r="BJ298" s="2"/>
      <c r="BK298" s="2"/>
      <c r="BL298" s="2"/>
    </row>
    <row r="299" spans="1:64" ht="17" thickTop="1" thickBot="1">
      <c r="A299" s="2"/>
      <c r="B299" s="2"/>
      <c r="D299" s="64"/>
      <c r="E299" s="109"/>
      <c r="F299" s="109"/>
      <c r="G299" s="109"/>
      <c r="H299" s="109"/>
      <c r="I299" s="110"/>
      <c r="J299" s="111"/>
      <c r="K299" s="111"/>
      <c r="L299" s="112"/>
      <c r="M299" s="113"/>
      <c r="N299" s="35"/>
      <c r="O299" s="114"/>
      <c r="P299" s="109"/>
      <c r="Q299" s="115"/>
      <c r="R299" s="64">
        <v>0.29519999999999996</v>
      </c>
      <c r="S299" s="64">
        <v>1.1264993391843019</v>
      </c>
      <c r="T299" s="64">
        <v>34.65</v>
      </c>
      <c r="U299" s="104">
        <f t="shared" si="84"/>
        <v>1.1198092292996967E-2</v>
      </c>
      <c r="W299" s="99">
        <v>4</v>
      </c>
      <c r="X299" s="106">
        <f t="shared" si="85"/>
        <v>0.1354462993533839</v>
      </c>
      <c r="Y299" s="106">
        <f t="shared" si="86"/>
        <v>0.20456853353411231</v>
      </c>
      <c r="Z299" s="106">
        <f t="shared" si="86"/>
        <v>17.714742857142856</v>
      </c>
      <c r="AA299" s="106">
        <f t="shared" si="86"/>
        <v>7.8287582871236477E-3</v>
      </c>
      <c r="AB299" s="100"/>
      <c r="AH299" s="72">
        <v>34.65</v>
      </c>
      <c r="AI299" s="72"/>
      <c r="AJ299" s="72" t="e">
        <f t="shared" si="83"/>
        <v>#REF!</v>
      </c>
      <c r="AK299" s="2"/>
      <c r="AL299" s="2"/>
      <c r="AM299" s="2"/>
      <c r="AN299" s="76"/>
      <c r="AO299" s="76"/>
      <c r="AP299" s="76"/>
      <c r="AQ299" s="2"/>
      <c r="AR299" s="2"/>
      <c r="AS299" s="2"/>
      <c r="AT299" s="2"/>
      <c r="AU299" s="2"/>
      <c r="AV299" s="2"/>
      <c r="AW299" s="2"/>
      <c r="AX299" s="2"/>
      <c r="AY299" s="2"/>
      <c r="AZ299" s="2"/>
      <c r="BA299" s="2"/>
      <c r="BB299" s="2"/>
      <c r="BC299" s="2"/>
      <c r="BD299" s="2"/>
      <c r="BE299" s="2"/>
      <c r="BF299" s="2"/>
      <c r="BG299" s="2"/>
      <c r="BH299" s="2"/>
      <c r="BI299" s="2"/>
      <c r="BJ299" s="2"/>
      <c r="BK299" s="2"/>
      <c r="BL299" s="2"/>
    </row>
    <row r="300" spans="1:64" ht="16" thickTop="1">
      <c r="A300" s="4"/>
      <c r="B300" s="2"/>
      <c r="C300" s="2"/>
      <c r="D300" s="2"/>
      <c r="E300" s="2"/>
      <c r="F300" s="2"/>
      <c r="G300" s="116"/>
      <c r="H300" s="2"/>
      <c r="I300" s="32"/>
      <c r="J300" s="33"/>
      <c r="K300" s="33"/>
      <c r="L300" s="44"/>
      <c r="M300" s="35"/>
      <c r="N300" s="35"/>
      <c r="O300" s="36"/>
      <c r="P300" s="2"/>
      <c r="Q300" s="75"/>
      <c r="R300" s="64">
        <v>0.36899999999999994</v>
      </c>
      <c r="S300" s="64">
        <v>1.4081241739803774</v>
      </c>
      <c r="T300" s="64">
        <v>43.3125</v>
      </c>
      <c r="U300" s="104">
        <f t="shared" si="84"/>
        <v>1.3997615366246207E-2</v>
      </c>
      <c r="W300" s="99">
        <v>5</v>
      </c>
      <c r="X300" s="106">
        <f t="shared" si="85"/>
        <v>0.16930787419172985</v>
      </c>
      <c r="Y300" s="106">
        <f t="shared" si="86"/>
        <v>0.25571066691764038</v>
      </c>
      <c r="Z300" s="106">
        <f t="shared" si="86"/>
        <v>22.143428571428569</v>
      </c>
      <c r="AA300" s="106">
        <f t="shared" si="86"/>
        <v>9.78594785890456E-3</v>
      </c>
      <c r="AB300" s="100"/>
      <c r="AH300" s="72">
        <v>43.3125</v>
      </c>
      <c r="AI300" s="72"/>
      <c r="AJ300" s="72" t="e">
        <f t="shared" si="83"/>
        <v>#REF!</v>
      </c>
      <c r="AK300" s="2"/>
      <c r="AL300" s="2"/>
      <c r="AM300" s="2"/>
      <c r="AN300" s="76"/>
      <c r="AO300" s="76"/>
      <c r="AP300" s="76"/>
      <c r="AQ300" s="2"/>
      <c r="AR300" s="2"/>
      <c r="AS300" s="2"/>
      <c r="AT300" s="2"/>
      <c r="AU300" s="2"/>
      <c r="AV300" s="2"/>
      <c r="AW300" s="2"/>
      <c r="AX300" s="2"/>
      <c r="AY300" s="2"/>
      <c r="AZ300" s="2"/>
      <c r="BA300" s="2"/>
      <c r="BB300" s="2"/>
      <c r="BC300" s="2"/>
      <c r="BD300" s="2"/>
      <c r="BE300" s="2"/>
      <c r="BF300" s="2"/>
      <c r="BG300" s="2"/>
      <c r="BH300" s="2"/>
      <c r="BI300" s="2"/>
      <c r="BJ300" s="2"/>
      <c r="BK300" s="2"/>
      <c r="BL300" s="2"/>
    </row>
    <row r="301" spans="1:64">
      <c r="A301" s="2"/>
      <c r="B301" s="2"/>
      <c r="C301" s="2"/>
      <c r="D301" s="2"/>
      <c r="E301" s="2"/>
      <c r="F301" s="2"/>
      <c r="G301" s="2"/>
      <c r="H301" s="2"/>
      <c r="I301" s="32"/>
      <c r="J301" s="33"/>
      <c r="K301" s="33"/>
      <c r="L301" s="34"/>
      <c r="M301" s="35"/>
      <c r="N301" s="35"/>
      <c r="O301" s="36"/>
      <c r="P301" s="2"/>
      <c r="Q301" s="75"/>
      <c r="R301" s="64">
        <v>0.44279999999999992</v>
      </c>
      <c r="S301" s="64">
        <v>1.6897490087764528</v>
      </c>
      <c r="T301" s="64">
        <v>51.974999999999994</v>
      </c>
      <c r="U301" s="104">
        <f t="shared" si="84"/>
        <v>1.6797138439495447E-2</v>
      </c>
      <c r="W301" s="99">
        <v>6</v>
      </c>
      <c r="X301" s="106">
        <f t="shared" si="85"/>
        <v>0.2031694490300758</v>
      </c>
      <c r="Y301" s="106">
        <f t="shared" si="86"/>
        <v>0.30685280030116846</v>
      </c>
      <c r="Z301" s="106">
        <f t="shared" si="86"/>
        <v>26.572114285714282</v>
      </c>
      <c r="AA301" s="106">
        <f t="shared" si="86"/>
        <v>1.1743137430685471E-2</v>
      </c>
      <c r="AB301" s="100"/>
      <c r="AH301" s="72">
        <v>51.974999999999994</v>
      </c>
      <c r="AI301" s="72"/>
      <c r="AJ301" s="72" t="e">
        <f t="shared" si="83"/>
        <v>#REF!</v>
      </c>
      <c r="AK301" s="2"/>
      <c r="AL301" s="2"/>
      <c r="AM301" s="2"/>
      <c r="AN301" s="76"/>
      <c r="AO301" s="76"/>
      <c r="AP301" s="76"/>
      <c r="AQ301" s="2"/>
      <c r="AR301" s="2"/>
      <c r="AS301" s="2"/>
      <c r="AT301" s="2"/>
      <c r="AU301" s="2"/>
      <c r="AV301" s="2"/>
      <c r="AW301" s="2"/>
      <c r="AX301" s="2"/>
      <c r="AY301" s="2"/>
      <c r="AZ301" s="2"/>
      <c r="BA301" s="2"/>
      <c r="BB301" s="2"/>
      <c r="BC301" s="2"/>
      <c r="BD301" s="2"/>
      <c r="BE301" s="2"/>
      <c r="BF301" s="2"/>
      <c r="BG301" s="2"/>
      <c r="BH301" s="2"/>
      <c r="BI301" s="2"/>
      <c r="BJ301" s="2"/>
      <c r="BK301" s="2"/>
      <c r="BL301" s="2"/>
    </row>
    <row r="302" spans="1:64">
      <c r="A302" s="2"/>
      <c r="B302" s="2"/>
      <c r="C302" s="16"/>
      <c r="D302" s="16"/>
      <c r="E302" s="2"/>
      <c r="F302" s="16"/>
      <c r="G302" s="2"/>
      <c r="H302" s="2"/>
      <c r="I302" s="32"/>
      <c r="J302" s="33"/>
      <c r="K302" s="33"/>
      <c r="L302" s="34"/>
      <c r="M302" s="35"/>
      <c r="N302" s="35"/>
      <c r="O302" s="36"/>
      <c r="P302" s="16"/>
      <c r="Q302" s="75"/>
      <c r="R302" s="64">
        <v>0.51659999999999995</v>
      </c>
      <c r="S302" s="64">
        <v>1.9713738435725283</v>
      </c>
      <c r="T302" s="64">
        <v>60.637499999999996</v>
      </c>
      <c r="U302" s="104">
        <f t="shared" si="84"/>
        <v>1.9596661512744688E-2</v>
      </c>
      <c r="W302" s="99">
        <v>7</v>
      </c>
      <c r="X302" s="106">
        <f t="shared" si="85"/>
        <v>0.23703102386842179</v>
      </c>
      <c r="Y302" s="106">
        <f t="shared" si="86"/>
        <v>0.35799493368469654</v>
      </c>
      <c r="Z302" s="106">
        <f t="shared" si="86"/>
        <v>31.000799999999998</v>
      </c>
      <c r="AA302" s="106">
        <f t="shared" si="86"/>
        <v>1.3700327002466383E-2</v>
      </c>
      <c r="AB302" s="100"/>
      <c r="AH302" s="72">
        <v>60.637499999999996</v>
      </c>
      <c r="AI302" s="72"/>
      <c r="AJ302" s="72" t="e">
        <f t="shared" si="83"/>
        <v>#REF!</v>
      </c>
      <c r="AK302" s="2"/>
      <c r="AL302" s="2"/>
      <c r="AM302" s="2"/>
      <c r="AN302" s="76"/>
      <c r="AO302" s="76"/>
      <c r="AP302" s="76"/>
      <c r="AQ302" s="2"/>
      <c r="AR302" s="2"/>
      <c r="AS302" s="2"/>
      <c r="AT302" s="2"/>
      <c r="AU302" s="2"/>
      <c r="AV302" s="2"/>
      <c r="AW302" s="2"/>
      <c r="AX302" s="2"/>
      <c r="AY302" s="2"/>
      <c r="AZ302" s="2"/>
      <c r="BA302" s="2"/>
      <c r="BB302" s="2"/>
      <c r="BC302" s="2"/>
      <c r="BD302" s="2"/>
      <c r="BE302" s="2"/>
      <c r="BF302" s="2"/>
      <c r="BG302" s="2"/>
      <c r="BH302" s="2"/>
      <c r="BI302" s="2"/>
      <c r="BJ302" s="2"/>
      <c r="BK302" s="2"/>
      <c r="BL302" s="2"/>
    </row>
    <row r="303" spans="1:64">
      <c r="A303" s="2"/>
      <c r="B303" s="2"/>
      <c r="C303" s="2"/>
      <c r="D303" s="2"/>
      <c r="E303" s="2"/>
      <c r="F303" s="2"/>
      <c r="G303" s="2"/>
      <c r="H303" s="2"/>
      <c r="I303" s="32"/>
      <c r="J303" s="33"/>
      <c r="K303" s="33"/>
      <c r="L303" s="34"/>
      <c r="M303" s="35"/>
      <c r="N303" s="35"/>
      <c r="O303" s="36"/>
      <c r="P303" s="2"/>
      <c r="Q303" s="75"/>
      <c r="R303" s="64">
        <v>0.59039999999999992</v>
      </c>
      <c r="S303" s="64">
        <v>2.2529986783686038</v>
      </c>
      <c r="T303" s="64">
        <v>69.3</v>
      </c>
      <c r="U303" s="104">
        <f t="shared" si="84"/>
        <v>2.239618458599393E-2</v>
      </c>
      <c r="W303" s="99">
        <v>8</v>
      </c>
      <c r="X303" s="106">
        <f t="shared" si="85"/>
        <v>0.27089259870676774</v>
      </c>
      <c r="Y303" s="106">
        <f t="shared" si="86"/>
        <v>0.40913706706822461</v>
      </c>
      <c r="Z303" s="106">
        <f t="shared" si="86"/>
        <v>35.429485714285711</v>
      </c>
      <c r="AA303" s="106">
        <f t="shared" si="86"/>
        <v>1.5657516574247295E-2</v>
      </c>
      <c r="AB303" s="100"/>
      <c r="AH303" s="72">
        <v>69.3</v>
      </c>
      <c r="AI303" s="72"/>
      <c r="AJ303" s="72" t="e">
        <f t="shared" si="83"/>
        <v>#REF!</v>
      </c>
      <c r="AK303" s="2"/>
      <c r="AL303" s="2"/>
      <c r="AM303" s="104"/>
      <c r="AN303" s="76"/>
      <c r="AO303" s="76"/>
      <c r="AP303" s="76"/>
      <c r="AQ303" s="2"/>
      <c r="AR303" s="2"/>
      <c r="AS303" s="2"/>
      <c r="AT303" s="2"/>
      <c r="AU303" s="2"/>
      <c r="AV303" s="2"/>
      <c r="AW303" s="2"/>
      <c r="AX303" s="2"/>
      <c r="AY303" s="2"/>
      <c r="AZ303" s="2"/>
      <c r="BA303" s="2"/>
      <c r="BB303" s="2"/>
      <c r="BC303" s="2"/>
      <c r="BD303" s="2"/>
      <c r="BE303" s="2"/>
      <c r="BF303" s="2"/>
      <c r="BG303" s="2"/>
      <c r="BH303" s="2"/>
      <c r="BI303" s="2"/>
      <c r="BJ303" s="2"/>
      <c r="BK303" s="2"/>
      <c r="BL303" s="2"/>
    </row>
    <row r="304" spans="1:64">
      <c r="A304" s="4"/>
      <c r="B304" s="2"/>
      <c r="C304" s="2"/>
      <c r="D304" s="2"/>
      <c r="E304" s="2"/>
      <c r="F304" s="2"/>
      <c r="G304" s="2"/>
      <c r="H304" s="2"/>
      <c r="I304" s="32"/>
      <c r="J304" s="33"/>
      <c r="K304" s="33"/>
      <c r="L304" s="34"/>
      <c r="M304" s="35"/>
      <c r="N304" s="35"/>
      <c r="O304" s="36"/>
      <c r="P304" s="2"/>
      <c r="Q304" s="75"/>
      <c r="R304" s="117">
        <v>0.66420000000000001</v>
      </c>
      <c r="S304" s="117">
        <v>2.5346235131646795</v>
      </c>
      <c r="T304" s="117">
        <v>77.962500000000006</v>
      </c>
      <c r="U304" s="104">
        <f t="shared" si="84"/>
        <v>2.5195707659243172E-2</v>
      </c>
      <c r="W304" s="99">
        <v>9</v>
      </c>
      <c r="X304" s="106">
        <f t="shared" ref="X304:AA304" si="87">$W304/$W305*X305</f>
        <v>0.30475417354511369</v>
      </c>
      <c r="Y304" s="106">
        <f t="shared" si="87"/>
        <v>0.46027920045175269</v>
      </c>
      <c r="Z304" s="106">
        <f t="shared" si="87"/>
        <v>39.858171428571424</v>
      </c>
      <c r="AA304" s="106">
        <f t="shared" si="87"/>
        <v>1.7614706146028208E-2</v>
      </c>
      <c r="AB304" s="100"/>
      <c r="AH304" s="72">
        <v>77.962500000000006</v>
      </c>
      <c r="AI304" s="72"/>
      <c r="AJ304" s="72" t="e">
        <f t="shared" si="83"/>
        <v>#REF!</v>
      </c>
      <c r="AK304" s="2"/>
      <c r="AL304" s="2"/>
      <c r="AM304" s="2"/>
      <c r="AN304" s="76"/>
      <c r="AO304" s="76"/>
      <c r="AP304" s="76"/>
      <c r="AQ304" s="2"/>
      <c r="AR304" s="2"/>
      <c r="AS304" s="2"/>
      <c r="AT304" s="2"/>
      <c r="AU304" s="2"/>
      <c r="AV304" s="2"/>
      <c r="AW304" s="2"/>
      <c r="AX304" s="2"/>
      <c r="AY304" s="2"/>
      <c r="AZ304" s="2"/>
      <c r="BA304" s="2"/>
      <c r="BB304" s="2"/>
      <c r="BC304" s="2"/>
      <c r="BD304" s="2"/>
      <c r="BE304" s="2"/>
      <c r="BF304" s="2"/>
      <c r="BG304" s="2"/>
      <c r="BH304" s="2"/>
      <c r="BI304" s="2"/>
      <c r="BJ304" s="2"/>
      <c r="BK304" s="2"/>
      <c r="BL304" s="2"/>
    </row>
    <row r="305" spans="1:64">
      <c r="A305" s="2"/>
      <c r="G305" s="64"/>
      <c r="I305" s="18"/>
      <c r="L305" s="73"/>
      <c r="M305" s="35"/>
      <c r="N305" s="35"/>
      <c r="O305" s="77"/>
      <c r="Q305" s="18"/>
      <c r="R305" s="118">
        <v>0.73799999999999999</v>
      </c>
      <c r="S305" s="118">
        <v>2.82</v>
      </c>
      <c r="T305" s="118">
        <v>86.625100000000003</v>
      </c>
      <c r="U305" s="17">
        <v>2.7995230732492413E-2</v>
      </c>
      <c r="V305" s="73"/>
      <c r="W305" s="96">
        <v>10</v>
      </c>
      <c r="X305" s="119">
        <v>0.33861574838345965</v>
      </c>
      <c r="Y305" s="120">
        <v>0.51142133383528077</v>
      </c>
      <c r="Z305" s="121">
        <v>44.286857142857137</v>
      </c>
      <c r="AA305" s="98">
        <v>1.957189571780912E-2</v>
      </c>
      <c r="AB305" s="97"/>
      <c r="AH305" s="27">
        <v>86.625</v>
      </c>
      <c r="AI305" s="27"/>
      <c r="AJ305" s="27">
        <v>2.25</v>
      </c>
      <c r="AN305" s="58"/>
      <c r="AO305" s="58"/>
      <c r="AP305" s="58"/>
    </row>
    <row r="306" spans="1:64">
      <c r="A306" s="4"/>
      <c r="G306" s="64"/>
      <c r="I306" s="45"/>
      <c r="J306" s="35"/>
      <c r="K306" s="35"/>
      <c r="L306" s="35"/>
      <c r="M306" s="35"/>
      <c r="N306" s="35"/>
      <c r="O306" s="46"/>
      <c r="Q306" s="18"/>
      <c r="R306" s="95"/>
      <c r="S306" s="48"/>
      <c r="T306" s="48"/>
      <c r="U306" s="48"/>
      <c r="V306" s="48"/>
      <c r="W306" s="18"/>
      <c r="X306" s="122"/>
      <c r="Y306" s="48"/>
      <c r="Z306" s="48"/>
      <c r="AA306" s="123"/>
      <c r="AB306" s="95"/>
      <c r="AH306" s="27"/>
      <c r="AI306" s="27"/>
      <c r="AN306" s="58"/>
      <c r="AO306" s="58"/>
      <c r="AP306" s="58"/>
    </row>
    <row r="307" spans="1:64">
      <c r="A307" s="2"/>
      <c r="B307" s="124"/>
      <c r="C307" s="124"/>
      <c r="D307" s="124"/>
      <c r="E307" s="125"/>
      <c r="F307" s="125"/>
      <c r="G307" s="125"/>
      <c r="H307" s="125"/>
      <c r="I307" s="126"/>
      <c r="J307" s="127"/>
      <c r="K307" s="128"/>
      <c r="L307" s="129"/>
      <c r="M307" s="127"/>
      <c r="N307" s="127"/>
      <c r="O307" s="130"/>
      <c r="P307" s="124"/>
      <c r="Q307" s="131"/>
      <c r="R307" s="132"/>
      <c r="S307" s="132"/>
      <c r="T307" s="132"/>
      <c r="U307" s="132"/>
      <c r="V307" s="132"/>
      <c r="W307" s="133"/>
      <c r="X307" s="134"/>
      <c r="Y307" s="132"/>
      <c r="Z307" s="132"/>
      <c r="AA307" s="135"/>
      <c r="AB307" s="132"/>
      <c r="AH307" s="71"/>
      <c r="AI307" s="71"/>
      <c r="AJ307" s="70"/>
      <c r="AK307" s="70"/>
      <c r="AL307" s="70"/>
      <c r="AM307" s="70"/>
      <c r="AN307" s="136"/>
      <c r="AO307" s="136"/>
      <c r="AP307" s="136"/>
      <c r="AQ307" s="70"/>
      <c r="AR307" s="70"/>
      <c r="AS307" s="70"/>
      <c r="AT307" s="70"/>
      <c r="AU307" s="70"/>
      <c r="AV307" s="70"/>
      <c r="AW307" s="70"/>
      <c r="AX307" s="70"/>
      <c r="AY307" s="70"/>
      <c r="AZ307" s="70"/>
      <c r="BA307" s="70"/>
      <c r="BB307" s="70"/>
      <c r="BC307" s="70"/>
      <c r="BD307" s="70"/>
      <c r="BE307" s="70"/>
      <c r="BF307" s="70"/>
      <c r="BG307" s="70"/>
      <c r="BH307" s="70"/>
      <c r="BI307" s="70"/>
      <c r="BJ307" s="70"/>
      <c r="BK307" s="70"/>
      <c r="BL307" s="70"/>
    </row>
    <row r="308" spans="1:64">
      <c r="A308" s="2"/>
      <c r="B308" s="70"/>
      <c r="C308" s="137"/>
      <c r="D308" s="137"/>
      <c r="E308" s="137"/>
      <c r="F308" s="137"/>
      <c r="G308" s="137"/>
      <c r="H308" s="137"/>
      <c r="I308" s="138"/>
      <c r="J308" s="139"/>
      <c r="K308" s="139"/>
      <c r="L308" s="140"/>
      <c r="M308" s="127"/>
      <c r="N308" s="127"/>
      <c r="O308" s="141"/>
      <c r="P308" s="70"/>
      <c r="Q308" s="133"/>
      <c r="R308" s="142"/>
      <c r="S308" s="142"/>
      <c r="T308" s="142"/>
      <c r="U308" s="142"/>
      <c r="V308" s="142"/>
      <c r="W308" s="133"/>
      <c r="X308" s="143"/>
      <c r="Y308" s="142"/>
      <c r="Z308" s="142"/>
      <c r="AA308" s="144"/>
      <c r="AB308" s="142"/>
      <c r="AH308" s="71"/>
      <c r="AI308" s="71"/>
      <c r="AJ308" s="70"/>
      <c r="AK308" s="70"/>
      <c r="AL308" s="70"/>
      <c r="AM308" s="70"/>
      <c r="AN308" s="136"/>
      <c r="AO308" s="136"/>
      <c r="AP308" s="136"/>
      <c r="AQ308" s="70"/>
      <c r="AR308" s="70"/>
      <c r="AS308" s="70"/>
      <c r="AT308" s="70"/>
      <c r="AU308" s="70"/>
      <c r="AV308" s="70"/>
      <c r="AW308" s="70"/>
      <c r="AX308" s="70"/>
      <c r="AY308" s="70"/>
      <c r="AZ308" s="70"/>
      <c r="BA308" s="70"/>
      <c r="BB308" s="70"/>
      <c r="BC308" s="70"/>
      <c r="BD308" s="70"/>
      <c r="BE308" s="70"/>
      <c r="BF308" s="70"/>
      <c r="BG308" s="70"/>
      <c r="BH308" s="70"/>
      <c r="BI308" s="70"/>
      <c r="BJ308" s="70"/>
      <c r="BK308" s="70"/>
      <c r="BL308" s="70"/>
    </row>
    <row r="309" spans="1:64">
      <c r="A309" s="2"/>
      <c r="G309" s="64"/>
      <c r="I309" s="45"/>
      <c r="J309" s="35"/>
      <c r="K309" s="35"/>
      <c r="L309" s="44"/>
      <c r="M309" s="35"/>
      <c r="N309" s="35"/>
      <c r="O309" s="46"/>
      <c r="Q309" s="18"/>
      <c r="R309" s="48"/>
      <c r="S309" s="48"/>
      <c r="T309" s="48"/>
      <c r="U309" s="48"/>
      <c r="V309" s="48"/>
      <c r="W309" s="18"/>
      <c r="X309" s="145"/>
      <c r="Y309" s="48"/>
      <c r="Z309" s="48"/>
      <c r="AA309" s="123"/>
      <c r="AB309" s="48"/>
      <c r="AH309" s="27"/>
      <c r="AI309" s="27"/>
      <c r="AN309" s="58"/>
      <c r="AO309" s="58"/>
      <c r="AP309" s="58"/>
    </row>
    <row r="310" spans="1:64">
      <c r="A310" s="2"/>
      <c r="B310" s="2"/>
      <c r="C310" s="2"/>
      <c r="D310" s="2"/>
      <c r="E310" s="2"/>
      <c r="F310" s="2"/>
      <c r="G310" s="3"/>
      <c r="H310" s="2"/>
      <c r="I310" s="32"/>
      <c r="J310" s="33"/>
      <c r="K310" s="33"/>
      <c r="L310" s="44"/>
      <c r="M310" s="35"/>
      <c r="N310" s="35"/>
      <c r="O310" s="36"/>
      <c r="P310" s="2"/>
      <c r="Q310" s="75"/>
      <c r="R310" s="95"/>
      <c r="S310" s="95"/>
      <c r="T310" s="95"/>
      <c r="U310" s="95"/>
      <c r="V310" s="95"/>
      <c r="W310" s="75"/>
      <c r="X310" s="122"/>
      <c r="Y310" s="95"/>
      <c r="Z310" s="95"/>
      <c r="AA310" s="146"/>
      <c r="AB310" s="95"/>
      <c r="AH310" s="72"/>
      <c r="AI310" s="72"/>
      <c r="AJ310" s="2"/>
      <c r="AK310" s="2"/>
      <c r="AL310" s="2"/>
      <c r="AM310" s="2"/>
      <c r="AN310" s="76"/>
      <c r="AO310" s="76"/>
      <c r="AP310" s="76"/>
      <c r="AQ310" s="2"/>
      <c r="AR310" s="2"/>
      <c r="AS310" s="2"/>
      <c r="AT310" s="2"/>
      <c r="AU310" s="2"/>
      <c r="AV310" s="2"/>
      <c r="AW310" s="2"/>
      <c r="AX310" s="2"/>
      <c r="AY310" s="2"/>
      <c r="AZ310" s="2"/>
      <c r="BA310" s="2"/>
      <c r="BB310" s="2"/>
      <c r="BC310" s="2"/>
      <c r="BD310" s="2"/>
      <c r="BE310" s="2"/>
      <c r="BF310" s="2"/>
      <c r="BG310" s="2"/>
      <c r="BH310" s="2"/>
      <c r="BI310" s="2"/>
      <c r="BJ310" s="2"/>
      <c r="BK310" s="2"/>
      <c r="BL310" s="2"/>
    </row>
    <row r="311" spans="1:64">
      <c r="A311" s="2"/>
      <c r="B311" s="2"/>
      <c r="C311" s="2"/>
      <c r="D311" s="2"/>
      <c r="E311" s="2"/>
      <c r="F311" s="2"/>
      <c r="G311" s="2"/>
      <c r="H311" s="2"/>
      <c r="I311" s="32"/>
      <c r="J311" s="33"/>
      <c r="K311" s="33"/>
      <c r="L311" s="73"/>
      <c r="M311" s="35"/>
      <c r="N311" s="35"/>
      <c r="O311" s="36"/>
      <c r="P311" s="2"/>
      <c r="Q311" s="75"/>
      <c r="R311" s="95"/>
      <c r="S311" s="95"/>
      <c r="T311" s="95"/>
      <c r="U311" s="95"/>
      <c r="V311" s="95"/>
      <c r="W311" s="75"/>
      <c r="X311" s="122"/>
      <c r="Y311" s="95"/>
      <c r="Z311" s="95"/>
      <c r="AA311" s="146"/>
      <c r="AB311" s="95"/>
      <c r="AH311" s="72"/>
      <c r="AI311" s="72"/>
      <c r="AJ311" s="2"/>
      <c r="AK311" s="2"/>
      <c r="AL311" s="2"/>
      <c r="AM311" s="2"/>
      <c r="AN311" s="76"/>
      <c r="AO311" s="76"/>
      <c r="AP311" s="76"/>
      <c r="AQ311" s="2"/>
      <c r="AR311" s="2"/>
      <c r="AS311" s="2"/>
      <c r="AT311" s="2"/>
      <c r="AU311" s="2"/>
      <c r="AV311" s="2"/>
      <c r="AW311" s="2"/>
      <c r="AX311" s="2"/>
      <c r="AY311" s="2"/>
      <c r="AZ311" s="2"/>
      <c r="BA311" s="2"/>
      <c r="BB311" s="2"/>
      <c r="BC311" s="2"/>
      <c r="BD311" s="2"/>
      <c r="BE311" s="2"/>
      <c r="BF311" s="2"/>
      <c r="BG311" s="2"/>
      <c r="BH311" s="2"/>
      <c r="BI311" s="2"/>
      <c r="BJ311" s="2"/>
      <c r="BK311" s="2"/>
      <c r="BL311" s="2"/>
    </row>
    <row r="312" spans="1:64">
      <c r="A312" s="4"/>
      <c r="B312" s="2"/>
      <c r="C312" s="2"/>
      <c r="D312" s="2"/>
      <c r="E312" s="2"/>
      <c r="F312" s="2"/>
      <c r="G312" s="2"/>
      <c r="H312" s="2"/>
      <c r="I312" s="32"/>
      <c r="J312" s="33"/>
      <c r="K312" s="33"/>
      <c r="L312" s="34"/>
      <c r="M312" s="35"/>
      <c r="N312" s="35"/>
      <c r="O312" s="36"/>
      <c r="P312" s="2"/>
      <c r="Q312" s="75"/>
      <c r="R312" s="95"/>
      <c r="S312" s="95"/>
      <c r="T312" s="95"/>
      <c r="U312" s="95"/>
      <c r="V312" s="95"/>
      <c r="W312" s="75"/>
      <c r="X312" s="122"/>
      <c r="Y312" s="95"/>
      <c r="Z312" s="95"/>
      <c r="AA312" s="146"/>
      <c r="AB312" s="95"/>
      <c r="AH312" s="72"/>
      <c r="AI312" s="72"/>
      <c r="AJ312" s="2"/>
      <c r="AK312" s="2"/>
      <c r="AL312" s="2"/>
      <c r="AM312" s="2"/>
      <c r="AN312" s="76"/>
      <c r="AO312" s="76"/>
      <c r="AP312" s="76"/>
      <c r="AQ312" s="2"/>
      <c r="AR312" s="2"/>
      <c r="AS312" s="2"/>
      <c r="AT312" s="2"/>
      <c r="AU312" s="2"/>
      <c r="AV312" s="2"/>
      <c r="AW312" s="2"/>
      <c r="AX312" s="2"/>
      <c r="AY312" s="2"/>
      <c r="AZ312" s="2"/>
      <c r="BA312" s="2"/>
      <c r="BB312" s="2"/>
      <c r="BC312" s="2"/>
      <c r="BD312" s="2"/>
      <c r="BE312" s="2"/>
      <c r="BF312" s="2"/>
      <c r="BG312" s="2"/>
      <c r="BH312" s="2"/>
      <c r="BI312" s="2"/>
      <c r="BJ312" s="2"/>
      <c r="BK312" s="2"/>
      <c r="BL312" s="2"/>
    </row>
    <row r="313" spans="1:64">
      <c r="A313" s="2"/>
      <c r="B313" s="2"/>
      <c r="C313" s="2"/>
      <c r="D313" s="2"/>
      <c r="E313" s="2"/>
      <c r="F313" s="2"/>
      <c r="G313" s="2"/>
      <c r="H313" s="2"/>
      <c r="I313" s="32"/>
      <c r="J313" s="33"/>
      <c r="K313" s="33"/>
      <c r="L313" s="34"/>
      <c r="M313" s="35"/>
      <c r="N313" s="35"/>
      <c r="O313" s="36"/>
      <c r="P313" s="2"/>
      <c r="Q313" s="75"/>
      <c r="R313" s="95"/>
      <c r="S313" s="95"/>
      <c r="T313" s="95"/>
      <c r="U313" s="95"/>
      <c r="V313" s="95"/>
      <c r="W313" s="75"/>
      <c r="X313" s="122"/>
      <c r="Y313" s="95"/>
      <c r="Z313" s="95"/>
      <c r="AA313" s="146"/>
      <c r="AB313" s="95"/>
      <c r="AH313" s="72"/>
      <c r="AI313" s="72"/>
      <c r="AJ313" s="2"/>
      <c r="AK313" s="2"/>
      <c r="AL313" s="2"/>
      <c r="AM313" s="2"/>
      <c r="AN313" s="76"/>
      <c r="AO313" s="76"/>
      <c r="AP313" s="76"/>
      <c r="AQ313" s="2"/>
      <c r="AR313" s="2"/>
      <c r="AS313" s="2"/>
      <c r="AT313" s="2"/>
      <c r="AU313" s="2"/>
      <c r="AV313" s="2"/>
      <c r="AW313" s="2"/>
      <c r="AX313" s="2"/>
      <c r="AY313" s="2"/>
      <c r="AZ313" s="2"/>
      <c r="BA313" s="2"/>
      <c r="BB313" s="2"/>
      <c r="BC313" s="2"/>
      <c r="BD313" s="2"/>
      <c r="BE313" s="2"/>
      <c r="BF313" s="2"/>
      <c r="BG313" s="2"/>
      <c r="BH313" s="2"/>
      <c r="BI313" s="2"/>
      <c r="BJ313" s="2"/>
      <c r="BK313" s="2"/>
      <c r="BL313" s="2"/>
    </row>
    <row r="314" spans="1:64">
      <c r="A314" s="2"/>
      <c r="B314" s="2"/>
      <c r="C314" s="2"/>
      <c r="D314" s="2"/>
      <c r="E314" s="2"/>
      <c r="F314" s="2"/>
      <c r="G314" s="2"/>
      <c r="H314" s="2"/>
      <c r="I314" s="32"/>
      <c r="J314" s="33"/>
      <c r="K314" s="33"/>
      <c r="L314" s="44"/>
      <c r="M314" s="35"/>
      <c r="N314" s="35"/>
      <c r="O314" s="36"/>
      <c r="P314" s="2"/>
      <c r="Q314" s="75"/>
      <c r="R314" s="95"/>
      <c r="S314" s="95"/>
      <c r="T314" s="95"/>
      <c r="U314" s="95"/>
      <c r="V314" s="95"/>
      <c r="W314" s="75"/>
      <c r="X314" s="122"/>
      <c r="Y314" s="95"/>
      <c r="Z314" s="95"/>
      <c r="AA314" s="146"/>
      <c r="AB314" s="95"/>
      <c r="AH314" s="72"/>
      <c r="AI314" s="72"/>
      <c r="AJ314" s="2"/>
      <c r="AK314" s="2"/>
      <c r="AL314" s="2"/>
      <c r="AM314" s="2"/>
      <c r="AN314" s="76"/>
      <c r="AO314" s="76"/>
      <c r="AP314" s="76"/>
      <c r="AQ314" s="2"/>
      <c r="AR314" s="2"/>
      <c r="AS314" s="2"/>
      <c r="AT314" s="2"/>
      <c r="AU314" s="2"/>
      <c r="AV314" s="2"/>
      <c r="AW314" s="2"/>
      <c r="AX314" s="2"/>
      <c r="AY314" s="2"/>
      <c r="AZ314" s="2"/>
      <c r="BA314" s="2"/>
      <c r="BB314" s="2"/>
      <c r="BC314" s="2"/>
      <c r="BD314" s="2"/>
      <c r="BE314" s="2"/>
      <c r="BF314" s="2"/>
      <c r="BG314" s="2"/>
      <c r="BH314" s="2"/>
      <c r="BI314" s="2"/>
      <c r="BJ314" s="2"/>
      <c r="BK314" s="2"/>
      <c r="BL314" s="2"/>
    </row>
    <row r="315" spans="1:64">
      <c r="A315" s="2"/>
      <c r="B315" s="2"/>
      <c r="C315" s="2"/>
      <c r="D315" s="2"/>
      <c r="E315" s="2"/>
      <c r="F315" s="16"/>
      <c r="G315" s="2"/>
      <c r="H315" s="2"/>
      <c r="I315" s="32"/>
      <c r="J315" s="33"/>
      <c r="K315" s="33"/>
      <c r="L315" s="44"/>
      <c r="M315" s="35"/>
      <c r="N315" s="35"/>
      <c r="O315" s="36"/>
      <c r="P315" s="2"/>
      <c r="Q315" s="75"/>
      <c r="R315" s="95"/>
      <c r="S315" s="95"/>
      <c r="T315" s="95"/>
      <c r="U315" s="95"/>
      <c r="V315" s="95"/>
      <c r="W315" s="75"/>
      <c r="X315" s="122"/>
      <c r="Y315" s="95"/>
      <c r="Z315" s="95"/>
      <c r="AA315" s="146"/>
      <c r="AB315" s="95"/>
      <c r="AH315" s="72"/>
      <c r="AI315" s="72"/>
      <c r="AJ315" s="2"/>
      <c r="AK315" s="2"/>
      <c r="AL315" s="2"/>
      <c r="AM315" s="2"/>
      <c r="AN315" s="76"/>
      <c r="AO315" s="76"/>
      <c r="AP315" s="76"/>
      <c r="AQ315" s="2"/>
      <c r="AR315" s="2"/>
      <c r="AS315" s="2"/>
      <c r="AT315" s="2"/>
      <c r="AU315" s="2"/>
      <c r="AV315" s="2"/>
      <c r="AW315" s="2"/>
      <c r="AX315" s="2"/>
      <c r="AY315" s="2"/>
      <c r="AZ315" s="2"/>
      <c r="BA315" s="2"/>
      <c r="BB315" s="2"/>
      <c r="BC315" s="2"/>
      <c r="BD315" s="2"/>
      <c r="BE315" s="2"/>
      <c r="BF315" s="2"/>
      <c r="BG315" s="2"/>
      <c r="BH315" s="2"/>
      <c r="BI315" s="2"/>
      <c r="BJ315" s="2"/>
      <c r="BK315" s="2"/>
      <c r="BL315" s="2"/>
    </row>
    <row r="316" spans="1:64">
      <c r="A316" s="4"/>
      <c r="B316" s="2"/>
      <c r="C316" s="2"/>
      <c r="D316" s="2"/>
      <c r="E316" s="2"/>
      <c r="F316" s="2"/>
      <c r="G316" s="2"/>
      <c r="H316" s="2"/>
      <c r="I316" s="32"/>
      <c r="J316" s="33"/>
      <c r="K316" s="33"/>
      <c r="L316" s="34"/>
      <c r="M316" s="35"/>
      <c r="N316" s="35"/>
      <c r="O316" s="36"/>
      <c r="P316" s="2"/>
      <c r="Q316" s="75"/>
      <c r="R316" s="95"/>
      <c r="S316" s="95"/>
      <c r="T316" s="95"/>
      <c r="U316" s="95"/>
      <c r="V316" s="95"/>
      <c r="W316" s="75"/>
      <c r="X316" s="122"/>
      <c r="Y316" s="95"/>
      <c r="Z316" s="95"/>
      <c r="AA316" s="146"/>
      <c r="AB316" s="95"/>
      <c r="AH316" s="72"/>
      <c r="AI316" s="72"/>
      <c r="AJ316" s="2"/>
      <c r="AK316" s="2"/>
      <c r="AL316" s="2"/>
      <c r="AM316" s="2"/>
      <c r="AN316" s="76"/>
      <c r="AO316" s="76"/>
      <c r="AP316" s="76"/>
      <c r="AQ316" s="2"/>
      <c r="AR316" s="2"/>
      <c r="AS316" s="2"/>
      <c r="AT316" s="2"/>
      <c r="AU316" s="2"/>
      <c r="AV316" s="2"/>
      <c r="AW316" s="2"/>
      <c r="AX316" s="2"/>
      <c r="AY316" s="2"/>
      <c r="AZ316" s="2"/>
      <c r="BA316" s="2"/>
      <c r="BB316" s="2"/>
      <c r="BC316" s="2"/>
      <c r="BD316" s="2"/>
      <c r="BE316" s="2"/>
      <c r="BF316" s="2"/>
      <c r="BG316" s="2"/>
      <c r="BH316" s="2"/>
      <c r="BI316" s="2"/>
      <c r="BJ316" s="2"/>
      <c r="BK316" s="2"/>
      <c r="BL316" s="2"/>
    </row>
    <row r="317" spans="1:64">
      <c r="A317" s="2"/>
      <c r="B317" s="2"/>
      <c r="C317" s="2"/>
      <c r="D317" s="2"/>
      <c r="E317" s="2"/>
      <c r="F317" s="2"/>
      <c r="G317" s="2"/>
      <c r="H317" s="2"/>
      <c r="I317" s="32"/>
      <c r="J317" s="33"/>
      <c r="K317" s="33"/>
      <c r="L317" s="44"/>
      <c r="M317" s="35"/>
      <c r="N317" s="35"/>
      <c r="O317" s="36"/>
      <c r="P317" s="2"/>
      <c r="Q317" s="75"/>
      <c r="R317" s="95"/>
      <c r="S317" s="95"/>
      <c r="T317" s="95"/>
      <c r="U317" s="95"/>
      <c r="V317" s="95"/>
      <c r="W317" s="75"/>
      <c r="X317" s="122"/>
      <c r="Y317" s="95"/>
      <c r="Z317" s="95"/>
      <c r="AA317" s="146"/>
      <c r="AB317" s="95"/>
      <c r="AH317" s="72"/>
      <c r="AI317" s="72"/>
      <c r="AJ317" s="2"/>
      <c r="AK317" s="2"/>
      <c r="AL317" s="2"/>
      <c r="AM317" s="2"/>
      <c r="AN317" s="76"/>
      <c r="AO317" s="76"/>
      <c r="AP317" s="76"/>
      <c r="AQ317" s="2"/>
      <c r="AR317" s="2"/>
      <c r="AS317" s="2"/>
      <c r="AT317" s="2"/>
      <c r="AU317" s="2"/>
      <c r="AV317" s="2"/>
      <c r="AW317" s="2"/>
      <c r="AX317" s="2"/>
      <c r="AY317" s="2"/>
      <c r="AZ317" s="2"/>
      <c r="BA317" s="2"/>
      <c r="BB317" s="2"/>
      <c r="BC317" s="2"/>
      <c r="BD317" s="2"/>
      <c r="BE317" s="2"/>
      <c r="BF317" s="2"/>
      <c r="BG317" s="2"/>
      <c r="BH317" s="2"/>
      <c r="BI317" s="2"/>
      <c r="BJ317" s="2"/>
      <c r="BK317" s="2"/>
      <c r="BL317" s="2"/>
    </row>
    <row r="318" spans="1:64">
      <c r="A318" s="2"/>
      <c r="B318" s="2"/>
      <c r="C318" s="2"/>
      <c r="D318" s="2"/>
      <c r="E318" s="2"/>
      <c r="F318" s="2"/>
      <c r="G318" s="16"/>
      <c r="H318" s="2"/>
      <c r="I318" s="32"/>
      <c r="J318" s="33"/>
      <c r="K318" s="33"/>
      <c r="L318" s="34"/>
      <c r="M318" s="35"/>
      <c r="N318" s="35"/>
      <c r="O318" s="36"/>
      <c r="P318" s="2"/>
      <c r="Q318" s="75"/>
      <c r="R318" s="95"/>
      <c r="S318" s="95"/>
      <c r="T318" s="95"/>
      <c r="U318" s="95"/>
      <c r="V318" s="95"/>
      <c r="W318" s="75"/>
      <c r="X318" s="122"/>
      <c r="Y318" s="95"/>
      <c r="Z318" s="95"/>
      <c r="AA318" s="146"/>
      <c r="AB318" s="95"/>
      <c r="AH318" s="72"/>
      <c r="AI318" s="72"/>
      <c r="AJ318" s="2"/>
      <c r="AK318" s="2"/>
      <c r="AL318" s="2"/>
      <c r="AM318" s="2"/>
      <c r="AN318" s="76"/>
      <c r="AO318" s="76"/>
      <c r="AP318" s="76"/>
      <c r="AQ318" s="2"/>
      <c r="AR318" s="2"/>
      <c r="AS318" s="2"/>
      <c r="AT318" s="2"/>
      <c r="AU318" s="2"/>
      <c r="AV318" s="2"/>
      <c r="AW318" s="2"/>
      <c r="AX318" s="2"/>
      <c r="AY318" s="2"/>
      <c r="AZ318" s="2"/>
      <c r="BA318" s="2"/>
      <c r="BB318" s="2"/>
      <c r="BC318" s="2"/>
      <c r="BD318" s="2"/>
      <c r="BE318" s="2"/>
      <c r="BF318" s="2"/>
      <c r="BG318" s="2"/>
      <c r="BH318" s="2"/>
      <c r="BI318" s="2"/>
      <c r="BJ318" s="2"/>
      <c r="BK318" s="2"/>
      <c r="BL318" s="2"/>
    </row>
    <row r="319" spans="1:64" ht="16" thickBot="1">
      <c r="A319" s="2"/>
      <c r="B319" s="2"/>
      <c r="C319" s="16"/>
      <c r="D319" s="16"/>
      <c r="E319" s="78"/>
      <c r="F319" s="78"/>
      <c r="G319" s="78"/>
      <c r="H319" s="78"/>
      <c r="I319" s="80"/>
      <c r="J319" s="81"/>
      <c r="K319" s="81"/>
      <c r="L319" s="82"/>
      <c r="M319" s="83"/>
      <c r="N319" s="35"/>
      <c r="O319" s="84"/>
      <c r="P319" s="79"/>
      <c r="Q319" s="147"/>
      <c r="R319" s="95"/>
      <c r="S319" s="95"/>
      <c r="T319" s="95"/>
      <c r="U319" s="95"/>
      <c r="V319" s="95"/>
      <c r="W319" s="75"/>
      <c r="X319" s="122"/>
      <c r="Y319" s="95"/>
      <c r="Z319" s="95"/>
      <c r="AA319" s="146"/>
      <c r="AB319" s="95"/>
      <c r="AH319" s="72"/>
      <c r="AI319" s="72"/>
      <c r="AJ319" s="2"/>
      <c r="AK319" s="2"/>
      <c r="AL319" s="2"/>
      <c r="AM319" s="2"/>
      <c r="AN319" s="76"/>
      <c r="AO319" s="76"/>
      <c r="AP319" s="76"/>
      <c r="AQ319" s="2"/>
      <c r="AR319" s="2"/>
      <c r="AS319" s="2"/>
      <c r="AT319" s="2"/>
      <c r="AU319" s="2"/>
      <c r="AV319" s="2"/>
      <c r="AW319" s="2"/>
      <c r="AX319" s="2"/>
      <c r="AY319" s="2"/>
      <c r="AZ319" s="2"/>
      <c r="BA319" s="2"/>
      <c r="BB319" s="2"/>
      <c r="BC319" s="2"/>
      <c r="BD319" s="2"/>
      <c r="BE319" s="2"/>
      <c r="BF319" s="2"/>
      <c r="BG319" s="2"/>
      <c r="BH319" s="2"/>
      <c r="BI319" s="2"/>
      <c r="BJ319" s="2"/>
      <c r="BK319" s="2"/>
      <c r="BL319" s="2"/>
    </row>
    <row r="320" spans="1:64" ht="17" thickTop="1" thickBot="1">
      <c r="A320" s="4"/>
      <c r="B320" s="2"/>
      <c r="C320" s="2"/>
      <c r="D320" s="2"/>
      <c r="E320" s="2"/>
      <c r="F320" s="2"/>
      <c r="G320" s="2"/>
      <c r="H320" s="2"/>
      <c r="I320" s="80"/>
      <c r="J320" s="81"/>
      <c r="K320" s="81"/>
      <c r="L320" s="82"/>
      <c r="M320" s="83"/>
      <c r="N320" s="83"/>
      <c r="O320" s="84"/>
      <c r="P320" s="2"/>
      <c r="Q320" s="2"/>
      <c r="R320" s="95"/>
      <c r="S320" s="95"/>
      <c r="T320" s="95"/>
      <c r="U320" s="95"/>
      <c r="V320" s="95"/>
      <c r="W320" s="75"/>
      <c r="X320" s="122"/>
      <c r="Y320" s="95"/>
      <c r="Z320" s="95"/>
      <c r="AA320" s="146"/>
      <c r="AB320" s="95"/>
      <c r="AH320" s="72"/>
      <c r="AI320" s="72"/>
      <c r="AJ320" s="2"/>
      <c r="AK320" s="2"/>
      <c r="AL320" s="2"/>
      <c r="AM320" s="2"/>
      <c r="AN320" s="76"/>
      <c r="AO320" s="76"/>
      <c r="AP320" s="76"/>
      <c r="AQ320" s="2"/>
      <c r="AR320" s="2"/>
      <c r="AS320" s="2"/>
      <c r="AT320" s="2"/>
      <c r="AU320" s="2"/>
      <c r="AV320" s="2"/>
      <c r="AW320" s="2"/>
      <c r="AX320" s="2"/>
      <c r="AY320" s="2"/>
      <c r="AZ320" s="2"/>
      <c r="BA320" s="2"/>
      <c r="BB320" s="2"/>
      <c r="BC320" s="2"/>
      <c r="BD320" s="2"/>
      <c r="BE320" s="2"/>
      <c r="BF320" s="2"/>
      <c r="BG320" s="2"/>
      <c r="BH320" s="2"/>
      <c r="BI320" s="2"/>
      <c r="BJ320" s="2"/>
      <c r="BK320" s="2"/>
      <c r="BL320" s="2"/>
    </row>
  </sheetData>
  <conditionalFormatting sqref="R1:R301">
    <cfRule type="cellIs" dxfId="116" priority="18" operator="equal">
      <formula>0</formula>
    </cfRule>
  </conditionalFormatting>
  <conditionalFormatting sqref="R1:R304">
    <cfRule type="cellIs" dxfId="115" priority="57" operator="between">
      <formula>0.6642</formula>
      <formula>0.74</formula>
    </cfRule>
  </conditionalFormatting>
  <conditionalFormatting sqref="R1:R320">
    <cfRule type="cellIs" dxfId="114" priority="26" operator="between">
      <formula>0.5166</formula>
      <formula>0.5904</formula>
    </cfRule>
    <cfRule type="cellIs" dxfId="113" priority="25" operator="between">
      <formula>0.4428</formula>
      <formula>0.5166</formula>
    </cfRule>
    <cfRule type="cellIs" dxfId="112" priority="24" operator="between">
      <formula>0.369</formula>
      <formula>0.4428</formula>
    </cfRule>
    <cfRule type="cellIs" dxfId="111" priority="27" operator="between">
      <formula>0.5904</formula>
      <formula>0.6642</formula>
    </cfRule>
    <cfRule type="cellIs" dxfId="110" priority="22" operator="between">
      <formula>0.2214</formula>
      <formula>0.2952</formula>
    </cfRule>
    <cfRule type="cellIs" dxfId="109" priority="21" operator="between">
      <formula>0.1476</formula>
      <formula>0.2214</formula>
    </cfRule>
    <cfRule type="cellIs" dxfId="108" priority="20" operator="between">
      <formula>0.0738</formula>
      <formula>0.1476</formula>
    </cfRule>
    <cfRule type="cellIs" dxfId="107" priority="19" operator="between">
      <formula>0</formula>
      <formula>0.0738</formula>
    </cfRule>
    <cfRule type="cellIs" dxfId="106" priority="23" operator="between">
      <formula>0.2952</formula>
      <formula>0.369</formula>
    </cfRule>
  </conditionalFormatting>
  <conditionalFormatting sqref="S1:S320 Y2">
    <cfRule type="cellIs" dxfId="105" priority="37" operator="between">
      <formula>2.252998678</formula>
      <formula>2.534623514</formula>
    </cfRule>
    <cfRule type="cellIs" dxfId="104" priority="36" operator="between">
      <formula>1.971373844</formula>
      <formula>2.252998679</formula>
    </cfRule>
    <cfRule type="cellIs" dxfId="103" priority="35" operator="between">
      <formula>1.689749009</formula>
      <formula>1.971373844</formula>
    </cfRule>
    <cfRule type="cellIs" dxfId="102" priority="34" operator="between">
      <formula>1.408124174</formula>
      <formula>1.689749009</formula>
    </cfRule>
    <cfRule type="cellIs" dxfId="101" priority="31" operator="between">
      <formula>0.8448745044</formula>
      <formula>1.12649934</formula>
    </cfRule>
    <cfRule type="cellIs" dxfId="100" priority="32" operator="between">
      <formula>0.5632496696</formula>
      <formula>0.8448745044</formula>
    </cfRule>
    <cfRule type="cellIs" dxfId="99" priority="33" operator="between">
      <formula>1.12649934</formula>
      <formula>1.408124174</formula>
    </cfRule>
  </conditionalFormatting>
  <conditionalFormatting sqref="S1:S320">
    <cfRule type="cellIs" dxfId="98" priority="29" operator="between">
      <formula>0</formula>
      <formula>0.2816248348</formula>
    </cfRule>
    <cfRule type="cellIs" dxfId="97" priority="30" operator="between">
      <formula>0.2816248348</formula>
      <formula>0.5632496696</formula>
    </cfRule>
  </conditionalFormatting>
  <conditionalFormatting sqref="S1:U320">
    <cfRule type="cellIs" dxfId="96" priority="28" operator="equal">
      <formula>0</formula>
    </cfRule>
  </conditionalFormatting>
  <conditionalFormatting sqref="T1:T320">
    <cfRule type="cellIs" dxfId="95" priority="42" operator="between">
      <formula>34.65</formula>
      <formula>43.3125</formula>
    </cfRule>
    <cfRule type="cellIs" dxfId="94" priority="43" operator="between">
      <formula>43.3125</formula>
      <formula>51.975</formula>
    </cfRule>
    <cfRule type="cellIs" dxfId="93" priority="44" operator="between">
      <formula>51.975</formula>
      <formula>60.6375</formula>
    </cfRule>
    <cfRule type="cellIs" dxfId="92" priority="45" operator="between">
      <formula>60.6375</formula>
      <formula>69.3</formula>
    </cfRule>
    <cfRule type="cellIs" dxfId="91" priority="46" operator="between">
      <formula>69.3</formula>
      <formula>77.9625</formula>
    </cfRule>
    <cfRule type="cellIs" dxfId="90" priority="41" operator="between">
      <formula>25.9875</formula>
      <formula>34.65</formula>
    </cfRule>
    <cfRule type="cellIs" dxfId="89" priority="40" operator="between">
      <formula>17.325</formula>
      <formula>25.9875</formula>
    </cfRule>
    <cfRule type="cellIs" dxfId="88" priority="39" operator="between">
      <formula>8.6625</formula>
      <formula>17.325</formula>
    </cfRule>
    <cfRule type="cellIs" dxfId="87" priority="38" operator="between">
      <formula>0</formula>
      <formula>8.6625</formula>
    </cfRule>
    <cfRule type="cellIs" dxfId="86" priority="58" operator="between">
      <formula>77.9625</formula>
      <formula>86.63</formula>
    </cfRule>
  </conditionalFormatting>
  <conditionalFormatting sqref="U1:U320">
    <cfRule type="cellIs" dxfId="85" priority="117" operator="between">
      <formula>0.01679713844</formula>
      <formula>0.01959666152</formula>
    </cfRule>
    <cfRule type="cellIs" dxfId="84" priority="60" operator="between">
      <formula>0.002799523074</formula>
      <formula>0.005599046147</formula>
    </cfRule>
    <cfRule type="cellIs" dxfId="83" priority="59" operator="between">
      <formula>0</formula>
      <formula>0.002799523074</formula>
    </cfRule>
    <cfRule type="cellIs" dxfId="82" priority="68" operator="between">
      <formula>0.02519570766</formula>
      <formula>0.027995232</formula>
    </cfRule>
    <cfRule type="cellIs" dxfId="81" priority="67" operator="between">
      <formula>0.02239618459</formula>
      <formula>0.02519570766</formula>
    </cfRule>
    <cfRule type="cellIs" dxfId="80" priority="66" operator="between">
      <formula>0.01959666152</formula>
      <formula>0.02239618459</formula>
    </cfRule>
    <cfRule type="cellIs" dxfId="79" priority="65" operator="between">
      <formula>0.01679713844</formula>
      <formula>0.01959666151</formula>
    </cfRule>
    <cfRule type="cellIs" dxfId="78" priority="64" operator="between">
      <formula>0.01399761537</formula>
      <formula>0.01679713844</formula>
    </cfRule>
    <cfRule type="cellIs" dxfId="77" priority="63" operator="between">
      <formula>0.0111980923</formula>
      <formula>0.01399761537</formula>
    </cfRule>
    <cfRule type="cellIs" dxfId="76" priority="62" operator="between">
      <formula>0.00839856922</formula>
      <formula>0.0111980923</formula>
    </cfRule>
    <cfRule type="cellIs" dxfId="75" priority="61" operator="between">
      <formula>0.005599046147</formula>
      <formula>0.00839856922</formula>
    </cfRule>
  </conditionalFormatting>
  <conditionalFormatting sqref="X1:X320 AJ2:AM22">
    <cfRule type="cellIs" dxfId="74" priority="54" operator="equal">
      <formula>7</formula>
    </cfRule>
    <cfRule type="cellIs" dxfId="73" priority="69" operator="equal">
      <formula>9</formula>
    </cfRule>
    <cfRule type="cellIs" dxfId="72" priority="56" operator="equal">
      <formula>10</formula>
    </cfRule>
    <cfRule type="cellIs" dxfId="71" priority="55" operator="equal">
      <formula>8</formula>
    </cfRule>
  </conditionalFormatting>
  <conditionalFormatting sqref="X1:X320">
    <cfRule type="cellIs" dxfId="70" priority="47" operator="equal">
      <formula>0</formula>
    </cfRule>
    <cfRule type="cellIs" dxfId="69" priority="48" operator="between">
      <formula>0.0000000000001</formula>
      <formula>0.03386157484</formula>
    </cfRule>
    <cfRule type="cellIs" dxfId="68" priority="49" operator="between">
      <formula>0.03386157484</formula>
      <formula>0.06772314968</formula>
    </cfRule>
    <cfRule type="cellIs" dxfId="67" priority="50" operator="between">
      <formula>0.06772314968</formula>
      <formula>0.1015847245</formula>
    </cfRule>
    <cfRule type="cellIs" dxfId="66" priority="51" operator="between">
      <formula>0.1015847245</formula>
      <formula>0.1354462994</formula>
    </cfRule>
    <cfRule type="cellIs" dxfId="65" priority="52" operator="between">
      <formula>0.1354462994</formula>
      <formula>0.1693078742</formula>
    </cfRule>
    <cfRule type="cellIs" dxfId="64" priority="53" operator="between">
      <formula>0.1693078742</formula>
      <formula>0.203169449</formula>
    </cfRule>
  </conditionalFormatting>
  <conditionalFormatting sqref="AD1">
    <cfRule type="cellIs" dxfId="63" priority="1" operator="equal">
      <formula>0</formula>
    </cfRule>
    <cfRule type="cellIs" dxfId="62" priority="3" operator="between">
      <formula>0.03386157484</formula>
      <formula>0.06772314968</formula>
    </cfRule>
    <cfRule type="cellIs" dxfId="61" priority="4" operator="between">
      <formula>0.06772314968</formula>
      <formula>0.1015847245</formula>
    </cfRule>
    <cfRule type="cellIs" dxfId="60" priority="2" operator="between">
      <formula>0.0000000000001</formula>
      <formula>0.03386157484</formula>
    </cfRule>
    <cfRule type="cellIs" dxfId="59" priority="5" operator="between">
      <formula>0.1015847245</formula>
      <formula>0.1354462994</formula>
    </cfRule>
    <cfRule type="cellIs" dxfId="58" priority="11" operator="equal">
      <formula>9</formula>
    </cfRule>
    <cfRule type="cellIs" dxfId="57" priority="6" operator="between">
      <formula>0.1354462994</formula>
      <formula>0.1693078742</formula>
    </cfRule>
    <cfRule type="cellIs" dxfId="56" priority="7" operator="between">
      <formula>0.1693078742</formula>
      <formula>0.203169449</formula>
    </cfRule>
    <cfRule type="cellIs" dxfId="55" priority="8" operator="equal">
      <formula>7</formula>
    </cfRule>
    <cfRule type="cellIs" dxfId="54" priority="9" operator="equal">
      <formula>8</formula>
    </cfRule>
    <cfRule type="cellIs" dxfId="53" priority="10" operator="equal">
      <formula>10</formula>
    </cfRule>
  </conditionalFormatting>
  <conditionalFormatting sqref="AE2:AE320 AK1:AK22 AJ2:AJ22 AL2:AM22 AK39:AK42">
    <cfRule type="cellIs" dxfId="52" priority="84" operator="between">
      <formula>0.40913707</formula>
      <formula>0.46027921</formula>
    </cfRule>
  </conditionalFormatting>
  <conditionalFormatting sqref="AE31">
    <cfRule type="cellIs" dxfId="51" priority="83" operator="between">
      <formula>0.35799494</formula>
      <formula>0.40913707</formula>
    </cfRule>
  </conditionalFormatting>
  <conditionalFormatting sqref="AJ1:AJ22 AK2:AM22 AD2:AD320 AJ39:AJ42">
    <cfRule type="cellIs" dxfId="50" priority="71" operator="between">
      <formula>0.000000001</formula>
      <formula>0.03386158</formula>
    </cfRule>
    <cfRule type="cellIs" dxfId="49" priority="72" operator="between">
      <formula>0.03386158</formula>
      <formula>0.06772315</formula>
    </cfRule>
    <cfRule type="cellIs" dxfId="48" priority="73" operator="between">
      <formula>0.30475418</formula>
      <formula>"AQ34"</formula>
    </cfRule>
  </conditionalFormatting>
  <conditionalFormatting sqref="AJ1:AJ22 AK2:AM22 AD2:AE320 AJ39:AK42">
    <cfRule type="cellIs" dxfId="47" priority="70" operator="equal">
      <formula>0</formula>
    </cfRule>
  </conditionalFormatting>
  <conditionalFormatting sqref="AJ2:AM22">
    <cfRule type="cellIs" dxfId="46" priority="17" operator="equal">
      <formula>6</formula>
    </cfRule>
    <cfRule type="cellIs" dxfId="45" priority="12" operator="equal">
      <formula>1</formula>
    </cfRule>
    <cfRule type="cellIs" dxfId="44" priority="13" operator="equal">
      <formula>2</formula>
    </cfRule>
    <cfRule type="cellIs" dxfId="43" priority="15" operator="equal">
      <formula>4</formula>
    </cfRule>
    <cfRule type="cellIs" dxfId="42" priority="16" operator="equal">
      <formula>5</formula>
    </cfRule>
    <cfRule type="cellIs" dxfId="41" priority="14" operator="equal">
      <formula>3</formula>
    </cfRule>
  </conditionalFormatting>
  <conditionalFormatting sqref="AK1:AK22 AJ2:AJ22 AL2:AM22 AE2:AE320 AK39:AK42">
    <cfRule type="cellIs" dxfId="40" priority="77" operator="between">
      <formula>0.10228427</formula>
      <formula>0.1534265</formula>
    </cfRule>
    <cfRule type="cellIs" dxfId="39" priority="78" operator="between">
      <formula>0.1534264</formula>
      <formula>0.20456855</formula>
    </cfRule>
    <cfRule type="cellIs" dxfId="38" priority="79" operator="between">
      <formula>0.20456854</formula>
      <formula>0.25571067</formula>
    </cfRule>
    <cfRule type="cellIs" dxfId="37" priority="80" operator="between">
      <formula>0.25571067</formula>
      <formula>0.30685281</formula>
    </cfRule>
    <cfRule type="cellIs" dxfId="36" priority="81" operator="between">
      <formula>0.30685281</formula>
      <formula>0.35799494</formula>
    </cfRule>
    <cfRule type="cellIs" dxfId="35" priority="82" operator="between">
      <formula>0.35799494</formula>
      <formula>0.40913707</formula>
    </cfRule>
    <cfRule type="cellIs" dxfId="34" priority="76" operator="between">
      <formula>0.05114214</formula>
      <formula>0.10228427</formula>
    </cfRule>
    <cfRule type="cellIs" dxfId="33" priority="75" operator="between">
      <formula>0.0000000001</formula>
      <formula>0.05114214</formula>
    </cfRule>
    <cfRule type="cellIs" dxfId="32" priority="85" operator="between">
      <formula>0.46027921</formula>
      <formula>0.51142134</formula>
    </cfRule>
  </conditionalFormatting>
  <conditionalFormatting sqref="AK1:AK22 AJ2:AJ22 AL2:AM22">
    <cfRule type="cellIs" dxfId="31" priority="74" operator="equal">
      <formula>0</formula>
    </cfRule>
  </conditionalFormatting>
  <conditionalFormatting sqref="AL1:AL22 AF2:AF320 AL39:AL42">
    <cfRule type="cellIs" dxfId="30" priority="87" operator="between">
      <formula>0.0000000001</formula>
      <formula>4.42868572</formula>
    </cfRule>
    <cfRule type="cellIs" dxfId="29" priority="88" operator="between">
      <formula>4.42868571</formula>
      <formula>8.85737143</formula>
    </cfRule>
    <cfRule type="cellIs" dxfId="28" priority="89" operator="between">
      <formula>8.85737143</formula>
      <formula>13.28605715</formula>
    </cfRule>
    <cfRule type="cellIs" dxfId="27" priority="90" operator="between">
      <formula>39.85817143</formula>
      <formula>44.28685715</formula>
    </cfRule>
  </conditionalFormatting>
  <conditionalFormatting sqref="AL1:AM22 AF2:AG320 AL39:AM42">
    <cfRule type="cellIs" dxfId="26" priority="86" operator="equal">
      <formula>0</formula>
    </cfRule>
  </conditionalFormatting>
  <conditionalFormatting sqref="AM1:AM22 AG2:AG320 AN25:AP32 AM39:AM42">
    <cfRule type="cellIs" dxfId="25" priority="92" operator="between">
      <formula>0.0000001</formula>
      <formula>0.00195719</formula>
    </cfRule>
    <cfRule type="cellIs" dxfId="24" priority="93" operator="between">
      <formula>0.00195719</formula>
      <formula>0.00391438</formula>
    </cfRule>
    <cfRule type="cellIs" dxfId="23" priority="94" operator="between">
      <formula>0.00391438</formula>
      <formula>0.00587157</formula>
    </cfRule>
    <cfRule type="cellIs" dxfId="22" priority="95" operator="between">
      <formula>0.00587157</formula>
      <formula>0.00782876</formula>
    </cfRule>
    <cfRule type="cellIs" dxfId="21" priority="96" operator="between">
      <formula>0.00782876</formula>
      <formula>0.00978595</formula>
    </cfRule>
    <cfRule type="cellIs" dxfId="20" priority="97" operator="between">
      <formula>0.01761471</formula>
      <formula>0.0195719</formula>
    </cfRule>
  </conditionalFormatting>
  <conditionalFormatting sqref="AN1:AO320">
    <cfRule type="cellIs" dxfId="19" priority="115" operator="between">
      <formula>7</formula>
      <formula>8</formula>
    </cfRule>
    <cfRule type="cellIs" dxfId="18" priority="116" operator="between">
      <formula>8</formula>
      <formula>9</formula>
    </cfRule>
    <cfRule type="cellIs" dxfId="17" priority="108" operator="between">
      <formula>0</formula>
      <formula>1</formula>
    </cfRule>
    <cfRule type="cellIs" dxfId="16" priority="114" operator="between">
      <formula>6</formula>
      <formula>7</formula>
    </cfRule>
    <cfRule type="cellIs" dxfId="15" priority="113" operator="between">
      <formula>5</formula>
      <formula>6</formula>
    </cfRule>
    <cfRule type="cellIs" dxfId="14" priority="112" operator="between">
      <formula>4</formula>
      <formula>5</formula>
    </cfRule>
    <cfRule type="cellIs" dxfId="13" priority="111" operator="between">
      <formula>3</formula>
      <formula>4</formula>
    </cfRule>
    <cfRule type="cellIs" dxfId="12" priority="110" operator="between">
      <formula>2</formula>
      <formula>3</formula>
    </cfRule>
    <cfRule type="cellIs" dxfId="11" priority="109" operator="between">
      <formula>1</formula>
      <formula>2</formula>
    </cfRule>
  </conditionalFormatting>
  <conditionalFormatting sqref="AN1:AP320">
    <cfRule type="cellIs" dxfId="10" priority="91" operator="equal">
      <formula>0</formula>
    </cfRule>
  </conditionalFormatting>
  <conditionalFormatting sqref="AP1:AP320">
    <cfRule type="cellIs" dxfId="9" priority="107" operator="between">
      <formula>7.425</formula>
      <formula>8.25</formula>
    </cfRule>
    <cfRule type="cellIs" dxfId="8" priority="106" operator="between">
      <formula>6.6</formula>
      <formula>7.425</formula>
    </cfRule>
    <cfRule type="cellIs" dxfId="7" priority="105" operator="between">
      <formula>5.775</formula>
      <formula>6.6</formula>
    </cfRule>
    <cfRule type="cellIs" dxfId="6" priority="104" operator="between">
      <formula>4.95</formula>
      <formula>5.775</formula>
    </cfRule>
    <cfRule type="cellIs" dxfId="5" priority="103" operator="between">
      <formula>4.125</formula>
      <formula>4.95</formula>
    </cfRule>
    <cfRule type="cellIs" dxfId="4" priority="102" operator="between">
      <formula>3.3</formula>
      <formula>4.125</formula>
    </cfRule>
    <cfRule type="cellIs" dxfId="3" priority="101" operator="between">
      <formula>2.475</formula>
      <formula>3.3</formula>
    </cfRule>
    <cfRule type="cellIs" dxfId="2" priority="100" operator="between">
      <formula>1.65</formula>
      <formula>2.475</formula>
    </cfRule>
    <cfRule type="cellIs" dxfId="1" priority="99" operator="between">
      <formula>0.825</formula>
      <formula>1.65</formula>
    </cfRule>
    <cfRule type="cellIs" dxfId="0" priority="98" operator="between">
      <formula>0</formula>
      <formula>0.825</formula>
    </cfRule>
  </conditionalFormatting>
  <hyperlinks>
    <hyperlink ref="G12" r:id="rId1" xr:uid="{00000000-0004-0000-0300-000000000000}"/>
    <hyperlink ref="G15" r:id="rId2" xr:uid="{00000000-0004-0000-0300-000001000000}"/>
    <hyperlink ref="G59" r:id="rId3" xr:uid="{00000000-0004-0000-0300-000002000000}"/>
    <hyperlink ref="G89" r:id="rId4" xr:uid="{00000000-0004-0000-0300-000003000000}"/>
    <hyperlink ref="G90" r:id="rId5" xr:uid="{00000000-0004-0000-0300-000004000000}"/>
    <hyperlink ref="G91" r:id="rId6" xr:uid="{00000000-0004-0000-0300-000005000000}"/>
    <hyperlink ref="G95" r:id="rId7" xr:uid="{00000000-0004-0000-0300-000006000000}"/>
    <hyperlink ref="G97" r:id="rId8" xr:uid="{00000000-0004-0000-0300-000007000000}"/>
    <hyperlink ref="G99" r:id="rId9" xr:uid="{00000000-0004-0000-0300-000008000000}"/>
    <hyperlink ref="G100" r:id="rId10" xr:uid="{00000000-0004-0000-0300-000009000000}"/>
    <hyperlink ref="G102" r:id="rId11" xr:uid="{00000000-0004-0000-0300-00000A000000}"/>
    <hyperlink ref="G110" r:id="rId12" xr:uid="{00000000-0004-0000-0300-00000B000000}"/>
    <hyperlink ref="G111" r:id="rId13" xr:uid="{00000000-0004-0000-0300-00000C000000}"/>
    <hyperlink ref="G118" r:id="rId14" xr:uid="{00000000-0004-0000-0300-00000D000000}"/>
    <hyperlink ref="G119" r:id="rId15" xr:uid="{00000000-0004-0000-0300-00000E000000}"/>
    <hyperlink ref="G127" r:id="rId16" xr:uid="{00000000-0004-0000-0300-00000F000000}"/>
    <hyperlink ref="G128" r:id="rId17" xr:uid="{00000000-0004-0000-0300-000010000000}"/>
    <hyperlink ref="G129" r:id="rId18" xr:uid="{00000000-0004-0000-0300-000011000000}"/>
    <hyperlink ref="G130" r:id="rId19" xr:uid="{00000000-0004-0000-0300-000012000000}"/>
    <hyperlink ref="G131" r:id="rId20" xr:uid="{00000000-0004-0000-0300-000013000000}"/>
    <hyperlink ref="G132" r:id="rId21" xr:uid="{00000000-0004-0000-0300-000014000000}"/>
    <hyperlink ref="G139" r:id="rId22" xr:uid="{00000000-0004-0000-0300-000015000000}"/>
    <hyperlink ref="G140" r:id="rId23" xr:uid="{00000000-0004-0000-0300-000016000000}"/>
    <hyperlink ref="G146" r:id="rId24" xr:uid="{00000000-0004-0000-0300-000017000000}"/>
    <hyperlink ref="G147" r:id="rId25" xr:uid="{00000000-0004-0000-0300-000018000000}"/>
    <hyperlink ref="G149" r:id="rId26" xr:uid="{00000000-0004-0000-0300-000019000000}"/>
    <hyperlink ref="G150" r:id="rId27" xr:uid="{00000000-0004-0000-0300-00001A000000}"/>
    <hyperlink ref="G151" r:id="rId28" xr:uid="{00000000-0004-0000-0300-00001B000000}"/>
    <hyperlink ref="G152" r:id="rId29" xr:uid="{00000000-0004-0000-0300-00001C000000}"/>
    <hyperlink ref="G153" r:id="rId30" xr:uid="{00000000-0004-0000-0300-00001D000000}"/>
    <hyperlink ref="G154" r:id="rId31" xr:uid="{00000000-0004-0000-0300-00001E000000}"/>
    <hyperlink ref="G156" r:id="rId32" xr:uid="{00000000-0004-0000-0300-00001F000000}"/>
    <hyperlink ref="G157" r:id="rId33" xr:uid="{00000000-0004-0000-0300-000020000000}"/>
    <hyperlink ref="G158" r:id="rId34" xr:uid="{00000000-0004-0000-0300-000021000000}"/>
    <hyperlink ref="G159" r:id="rId35" xr:uid="{00000000-0004-0000-0300-000022000000}"/>
    <hyperlink ref="G160" r:id="rId36" xr:uid="{00000000-0004-0000-0300-000023000000}"/>
    <hyperlink ref="G253" r:id="rId37" xr:uid="{00000000-0004-0000-0300-000024000000}"/>
    <hyperlink ref="G255" r:id="rId38" xr:uid="{00000000-0004-0000-0300-000025000000}"/>
    <hyperlink ref="G256" r:id="rId39" xr:uid="{00000000-0004-0000-0300-000026000000}"/>
    <hyperlink ref="G257" r:id="rId40" xr:uid="{00000000-0004-0000-0300-000027000000}"/>
    <hyperlink ref="G263" r:id="rId41" xr:uid="{00000000-0004-0000-0300-000028000000}"/>
    <hyperlink ref="G264" r:id="rId42" xr:uid="{00000000-0004-0000-0300-000029000000}"/>
    <hyperlink ref="G278" r:id="rId43" xr:uid="{00000000-0004-0000-0300-00002A000000}"/>
    <hyperlink ref="G279" r:id="rId44" xr:uid="{00000000-0004-0000-0300-00002B000000}"/>
    <hyperlink ref="G282" r:id="rId45" xr:uid="{00000000-0004-0000-0300-00002C000000}"/>
  </hyperlinks>
  <pageMargins left="0.7" right="0.7" top="0.75" bottom="0.75" header="0.3" footer="0.3"/>
  <legacyDrawing r:id="rId4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650E3-7EA6-364B-8BCF-2A9F67F0F7BD}">
  <dimension ref="E4:L18"/>
  <sheetViews>
    <sheetView workbookViewId="0">
      <selection activeCell="K15" sqref="K15"/>
    </sheetView>
  </sheetViews>
  <sheetFormatPr baseColWidth="10" defaultRowHeight="15"/>
  <cols>
    <col min="5" max="5" width="18.1640625" customWidth="1"/>
    <col min="6" max="6" width="11" bestFit="1" customWidth="1"/>
    <col min="7" max="7" width="12.6640625" bestFit="1" customWidth="1"/>
    <col min="8" max="8" width="11" bestFit="1" customWidth="1"/>
    <col min="9" max="9" width="11.6640625" bestFit="1" customWidth="1"/>
  </cols>
  <sheetData>
    <row r="4" spans="5:12">
      <c r="E4" s="334"/>
      <c r="F4" s="335" t="s">
        <v>1589</v>
      </c>
      <c r="G4" s="335" t="s">
        <v>13</v>
      </c>
      <c r="H4" s="335" t="s">
        <v>1590</v>
      </c>
      <c r="I4" s="335" t="s">
        <v>1591</v>
      </c>
      <c r="J4" s="335" t="s">
        <v>1546</v>
      </c>
      <c r="K4" s="336" t="s">
        <v>1547</v>
      </c>
    </row>
    <row r="5" spans="5:12">
      <c r="E5" s="334" t="str">
        <f>diets!V1</f>
        <v>Mean American Diet</v>
      </c>
      <c r="F5" s="337">
        <f>diets!AB47</f>
        <v>1620.3738784771374</v>
      </c>
      <c r="G5" s="337">
        <f>diets!AA47</f>
        <v>1884982.1709933979</v>
      </c>
      <c r="H5" s="337">
        <f>diets!Y47</f>
        <v>16238.053625377528</v>
      </c>
      <c r="I5" s="337">
        <f>diets!Z47</f>
        <v>48733.303782843548</v>
      </c>
      <c r="J5" s="337">
        <f>diets!U45</f>
        <v>2500.3896000000004</v>
      </c>
      <c r="K5" s="338">
        <f>diets!X45</f>
        <v>105.88118154726627</v>
      </c>
    </row>
    <row r="6" spans="5:12">
      <c r="E6" s="246" t="str">
        <f>diets!AE1</f>
        <v>UPF</v>
      </c>
      <c r="F6" s="339">
        <f>diets!AL47</f>
        <v>747.61481329437038</v>
      </c>
      <c r="G6" s="339">
        <f>diets!AK47</f>
        <v>987787.62738541316</v>
      </c>
      <c r="H6" s="339">
        <f>diets!AI47</f>
        <v>6537.7528699819459</v>
      </c>
      <c r="I6" s="339">
        <f>diets!AJ47</f>
        <v>28078.039550923815</v>
      </c>
      <c r="J6" s="339">
        <f>diets!AE45</f>
        <v>1636.7655999999999</v>
      </c>
      <c r="K6" s="340">
        <f>diets!AH45</f>
        <v>50.996616966708991</v>
      </c>
    </row>
    <row r="7" spans="5:12">
      <c r="E7" s="341" t="str">
        <f>diets!AP1</f>
        <v>0.8 g/kg</v>
      </c>
      <c r="F7" s="339">
        <f>diets!AV47</f>
        <v>1253.3556489623356</v>
      </c>
      <c r="G7" s="339">
        <f>diets!AU47</f>
        <v>1362294.9058782607</v>
      </c>
      <c r="H7" s="339">
        <f>diets!AS47</f>
        <v>12576.133868282266</v>
      </c>
      <c r="I7" s="339">
        <f>diets!AT47</f>
        <v>47734.201604786555</v>
      </c>
      <c r="J7" s="339">
        <f>diets!AO45</f>
        <v>2499.6447058832632</v>
      </c>
      <c r="K7" s="340">
        <f>diets!AR45</f>
        <v>67.285004777165909</v>
      </c>
    </row>
    <row r="8" spans="5:12">
      <c r="E8" s="341" t="str">
        <f>diets!AY1</f>
        <v>1.2 g/kg</v>
      </c>
      <c r="F8" s="339">
        <f>diets!BF47</f>
        <v>1579.418981096685</v>
      </c>
      <c r="G8" s="339">
        <f>diets!BE47</f>
        <v>1518270.9459631008</v>
      </c>
      <c r="H8" s="339">
        <f>diets!BC47</f>
        <v>16646.023128729423</v>
      </c>
      <c r="I8" s="339">
        <f>diets!BD47</f>
        <v>49705.242645896185</v>
      </c>
      <c r="J8" s="339">
        <f>diets!AY45</f>
        <v>2499.6957642603857</v>
      </c>
      <c r="K8" s="340">
        <f>diets!BB45</f>
        <v>100.84518830094257</v>
      </c>
    </row>
    <row r="9" spans="5:12">
      <c r="E9" s="341" t="str">
        <f>diets!BJ1</f>
        <v>1.6 g/kg</v>
      </c>
      <c r="F9" s="339">
        <f>diets!BQ47</f>
        <v>1969.1244734977586</v>
      </c>
      <c r="G9" s="339">
        <f>diets!BP47</f>
        <v>1760953.6181536382</v>
      </c>
      <c r="H9" s="339">
        <f>diets!BN47</f>
        <v>21407.659406569564</v>
      </c>
      <c r="I9" s="339">
        <f>diets!BO47</f>
        <v>52485.30446813177</v>
      </c>
      <c r="J9" s="339">
        <f>diets!BJ45</f>
        <v>2499.516060583017</v>
      </c>
      <c r="K9" s="340">
        <f>diets!BM45</f>
        <v>134.26708806627164</v>
      </c>
    </row>
    <row r="10" spans="5:12">
      <c r="E10" s="341" t="str">
        <f>diets!BU1</f>
        <v>1.6 g/kg plants</v>
      </c>
      <c r="F10" s="339">
        <f>diets!CB47</f>
        <v>1497.7793450200566</v>
      </c>
      <c r="G10" s="339">
        <f>diets!CA47</f>
        <v>1415155.5062714668</v>
      </c>
      <c r="H10" s="339">
        <f>diets!BY47</f>
        <v>16597.693788935609</v>
      </c>
      <c r="I10" s="339">
        <f>diets!BZ47</f>
        <v>43883.534702103032</v>
      </c>
      <c r="J10" s="339">
        <f>diets!BU45</f>
        <v>2499.6400527792202</v>
      </c>
      <c r="K10" s="340">
        <f>diets!BX45</f>
        <v>134.37530603776761</v>
      </c>
    </row>
    <row r="11" spans="5:12">
      <c r="E11" s="342" t="str">
        <f>diets!CF1</f>
        <v>1.6 g/kg animal</v>
      </c>
      <c r="F11" s="343">
        <f>diets!CM47</f>
        <v>1985.3613800760761</v>
      </c>
      <c r="G11" s="343">
        <f>diets!CL47</f>
        <v>1637370.2722960121</v>
      </c>
      <c r="H11" s="343">
        <f>diets!CJ47</f>
        <v>21199.247774193638</v>
      </c>
      <c r="I11" s="343">
        <f>diets!CK47</f>
        <v>52751.029784245409</v>
      </c>
      <c r="J11" s="343">
        <f>diets!CF45</f>
        <v>2500.187619501251</v>
      </c>
      <c r="K11" s="344">
        <f>diets!CI45</f>
        <v>134.21656241614866</v>
      </c>
    </row>
    <row r="13" spans="5:12">
      <c r="F13" s="176"/>
      <c r="G13" s="176"/>
      <c r="H13" s="176"/>
      <c r="I13" s="176"/>
    </row>
    <row r="14" spans="5:12">
      <c r="F14" s="176">
        <f>(F7-$F$5)/$F$5</f>
        <v>-0.22650218840835268</v>
      </c>
      <c r="G14" s="176">
        <f>(G7-$G$5)/$G$5</f>
        <v>-0.27729029651228881</v>
      </c>
      <c r="H14" s="176">
        <f t="shared" ref="H14:H16" si="0">(H7-$H$5)/$H$5</f>
        <v>-0.22551469785592138</v>
      </c>
      <c r="I14" s="176">
        <f t="shared" ref="I14:I17" si="1">(I7-$I$5)/$I$5</f>
        <v>-2.0501425113901784E-2</v>
      </c>
      <c r="K14" t="s">
        <v>1672</v>
      </c>
    </row>
    <row r="15" spans="5:12">
      <c r="F15" s="348">
        <f>(F8-$F$5)/$F$5</f>
        <v>-2.5274967662983247E-2</v>
      </c>
      <c r="G15" s="348">
        <f t="shared" ref="G15:G18" si="2">(G8-$G$5)/$G$5</f>
        <v>-0.1945436040050384</v>
      </c>
      <c r="H15" s="348">
        <f>(H8-$H$5)/$H$5</f>
        <v>2.5124285999049936E-2</v>
      </c>
      <c r="I15" s="348">
        <f t="shared" si="1"/>
        <v>1.9944038011123027E-2</v>
      </c>
      <c r="K15" s="349">
        <f>MIN(F15:F16,F18,H15:H16,H18,I15:I16,I18)</f>
        <v>-2.5274967662983247E-2</v>
      </c>
      <c r="L15" s="349">
        <f>MAX(F15:F16,F18,H15:H16,H18,I15:I16,I18)</f>
        <v>0.31836363522736211</v>
      </c>
    </row>
    <row r="16" spans="5:12">
      <c r="F16" s="348">
        <f>(F9-$F$5)/$F$5</f>
        <v>0.21522847267100145</v>
      </c>
      <c r="G16" s="348">
        <f t="shared" si="2"/>
        <v>-6.5798263107388372E-2</v>
      </c>
      <c r="H16" s="348">
        <f t="shared" si="0"/>
        <v>0.31836363522736211</v>
      </c>
      <c r="I16" s="348">
        <f t="shared" si="1"/>
        <v>7.6990484823421829E-2</v>
      </c>
    </row>
    <row r="17" spans="6:9">
      <c r="F17" s="176">
        <f t="shared" ref="F17" si="3">(F10-$F$5)/$F$5</f>
        <v>-7.5658176847616096E-2</v>
      </c>
      <c r="G17" s="176">
        <f t="shared" si="2"/>
        <v>-0.24924727244201433</v>
      </c>
      <c r="H17" s="176">
        <f>(H10-$H$5)/$H$5</f>
        <v>2.2147984718810104E-2</v>
      </c>
      <c r="I17" s="176">
        <f t="shared" si="1"/>
        <v>-9.9516525749027224E-2</v>
      </c>
    </row>
    <row r="18" spans="6:9">
      <c r="F18" s="348">
        <f>(F11-$F$5)/$F$5</f>
        <v>0.22524894189355971</v>
      </c>
      <c r="G18" s="348">
        <f t="shared" si="2"/>
        <v>-0.13136033990543938</v>
      </c>
      <c r="H18" s="348">
        <f>(H11-$H$5)/$H$5</f>
        <v>0.30552886837758331</v>
      </c>
      <c r="I18" s="348">
        <f>(I11-$I$5)/$I$5</f>
        <v>8.2443127995280557E-2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Q4:CH24"/>
  <sheetViews>
    <sheetView workbookViewId="0"/>
  </sheetViews>
  <sheetFormatPr defaultRowHeight="15"/>
  <cols>
    <col min="43" max="43" width="11.7109375" customWidth="true"/>
    <col min="53" max="53" width="11.7109375" customWidth="true"/>
    <col min="64" max="64" width="11.7109375" customWidth="true"/>
    <col min="75" max="75" width="11.7109375" customWidth="true"/>
    <col min="86" max="86" width="11.7109375" customWidth="true"/>
  </cols>
  <sheetData>
    <row r="4">
      <c r="AQ4" s="0">
        <v>78.357493844819345</v>
      </c>
      <c r="BA4" s="0">
        <v>93.2644101634571</v>
      </c>
      <c r="BL4" s="0">
        <v>112.90145076628737</v>
      </c>
      <c r="BW4" s="0">
        <v>36.999999999999986</v>
      </c>
      <c r="CH4" s="0">
        <v>123.04637583970592</v>
      </c>
    </row>
    <row r="5">
      <c r="AQ5" s="0">
        <v>102.33794607622113</v>
      </c>
      <c r="BA5" s="0">
        <v>102.29128256700491</v>
      </c>
      <c r="BL5" s="0">
        <v>102.31408307772791</v>
      </c>
      <c r="BW5" s="0">
        <v>105.75000000000409</v>
      </c>
      <c r="CH5" s="0">
        <v>10.000000000000179</v>
      </c>
    </row>
    <row r="6">
      <c r="AQ6" s="0">
        <v>52.296280614921471</v>
      </c>
      <c r="BA6" s="0">
        <v>59.788664202246579</v>
      </c>
      <c r="BL6" s="0">
        <v>66.933480750277838</v>
      </c>
      <c r="BW6" s="0">
        <v>36.999999999999993</v>
      </c>
      <c r="CH6" s="0">
        <v>72.373741073845977</v>
      </c>
    </row>
    <row r="7">
      <c r="AQ7" s="0">
        <v>22.941714399992879</v>
      </c>
      <c r="BA7" s="0">
        <v>45.350865044781031</v>
      </c>
      <c r="BL7" s="0">
        <v>53.670005923061481</v>
      </c>
      <c r="BW7" s="0">
        <v>101.94927163738714</v>
      </c>
      <c r="CH7" s="0">
        <v>46.708246785859004</v>
      </c>
    </row>
    <row r="8">
      <c r="AQ8" s="0">
        <v>21.795645231607324</v>
      </c>
      <c r="BA8" s="0">
        <v>29.618707132590185</v>
      </c>
      <c r="BL8" s="0">
        <v>26.679998744447236</v>
      </c>
      <c r="BW8" s="0">
        <v>30.162043004905886</v>
      </c>
      <c r="CH8" s="0">
        <v>15.27007208240547</v>
      </c>
    </row>
    <row r="9">
      <c r="AQ9" s="0">
        <v>20.883376508312413</v>
      </c>
      <c r="BA9" s="0">
        <v>37.10258763751029</v>
      </c>
      <c r="BL9" s="0">
        <v>53.494668050775538</v>
      </c>
      <c r="BW9" s="0">
        <v>36.999999999999972</v>
      </c>
      <c r="CH9" s="0">
        <v>63.287780168040513</v>
      </c>
    </row>
    <row r="10">
      <c r="AQ10" s="0">
        <v>16.839780314564642</v>
      </c>
      <c r="BA10" s="0">
        <v>39.410865044780202</v>
      </c>
      <c r="BL10" s="0">
        <v>47.73000592306169</v>
      </c>
      <c r="BW10" s="0">
        <v>96.009271637387144</v>
      </c>
      <c r="CH10" s="0">
        <v>46.708246785859004</v>
      </c>
    </row>
    <row r="11">
      <c r="AQ11" s="0">
        <v>10.425257915624524</v>
      </c>
      <c r="BA11" s="0">
        <v>37.491718899267518</v>
      </c>
      <c r="BL11" s="0">
        <v>58.028643487107253</v>
      </c>
      <c r="BW11" s="0">
        <v>96.769999999999555</v>
      </c>
      <c r="CH11" s="0">
        <v>66.99842185834504</v>
      </c>
    </row>
    <row r="12">
      <c r="AQ12" s="0">
        <v>15.069071099740706</v>
      </c>
      <c r="BA12" s="0">
        <v>28.498492382011904</v>
      </c>
      <c r="BL12" s="0">
        <v>51.57837056888436</v>
      </c>
      <c r="BW12" s="0">
        <v>37.000000000000064</v>
      </c>
      <c r="CH12" s="0">
        <v>61.972764266227635</v>
      </c>
    </row>
    <row r="13">
      <c r="AQ13" s="0">
        <v>39.06823755554403</v>
      </c>
      <c r="BA13" s="0">
        <v>39.0730381490079</v>
      </c>
      <c r="BL13" s="0">
        <v>39.156867276128615</v>
      </c>
      <c r="BW13" s="0">
        <v>44.876371069065058</v>
      </c>
      <c r="CH13" s="0">
        <v>10.000000000000128</v>
      </c>
    </row>
    <row r="14">
      <c r="AQ14" s="0">
        <v>27.850879287134873</v>
      </c>
      <c r="BA14" s="0">
        <v>40.955751556852576</v>
      </c>
      <c r="BL14" s="0">
        <v>51.498654195556426</v>
      </c>
      <c r="BW14" s="0">
        <v>98.661128220031202</v>
      </c>
      <c r="CH14" s="0">
        <v>37.501670622546428</v>
      </c>
    </row>
    <row r="16">
      <c r="AQ16" s="0">
        <v>70.285772239328921</v>
      </c>
      <c r="BA16" s="0">
        <v>29.99193737044995</v>
      </c>
      <c r="BL16" s="0">
        <v>20.419618412278158</v>
      </c>
      <c r="BW16" s="0">
        <v>15.430000000000037</v>
      </c>
      <c r="CH16" s="0">
        <v>19.940525483824697</v>
      </c>
    </row>
    <row r="17">
      <c r="AQ17" s="0">
        <v>98.558137573833861</v>
      </c>
      <c r="BA17" s="0">
        <v>60.912888275685873</v>
      </c>
      <c r="BL17" s="0">
        <v>39.492660322908634</v>
      </c>
      <c r="BW17" s="0">
        <v>21.768609124794271</v>
      </c>
      <c r="CH17" s="0">
        <v>44.621434286801211</v>
      </c>
    </row>
    <row r="18">
      <c r="AQ18" s="0">
        <v>55.780999629014879</v>
      </c>
      <c r="BA18" s="0">
        <v>56.409169463020113</v>
      </c>
      <c r="BL18" s="0">
        <v>37.464767868725545</v>
      </c>
      <c r="BW18" s="0">
        <v>20.506157006687207</v>
      </c>
      <c r="CH18" s="0">
        <v>48.278088377951889</v>
      </c>
    </row>
    <row r="21">
      <c r="AQ21" s="0">
        <v>46.976473844547336</v>
      </c>
      <c r="BA21" s="0">
        <v>62.058648381041039</v>
      </c>
      <c r="BL21" s="0">
        <v>84.4954250358509</v>
      </c>
      <c r="BW21" s="0">
        <v>37.000000000000043</v>
      </c>
      <c r="CH21" s="0">
        <v>95.222437812944534</v>
      </c>
    </row>
    <row r="22">
      <c r="AQ22" s="0">
        <v>13.881084824406503</v>
      </c>
      <c r="BA22" s="0">
        <v>32.705553564513217</v>
      </c>
      <c r="BL22" s="0">
        <v>55.045750449540762</v>
      </c>
      <c r="BW22" s="0">
        <v>37.000000000000043</v>
      </c>
      <c r="CH22" s="0">
        <v>66.83778609096278</v>
      </c>
    </row>
    <row r="23">
      <c r="AQ23" s="0">
        <v>27.884399272095639</v>
      </c>
      <c r="BA23" s="0">
        <v>27.845243267029286</v>
      </c>
      <c r="BL23" s="0">
        <v>27.89638349699716</v>
      </c>
      <c r="BW23" s="0">
        <v>33.54637106906506</v>
      </c>
      <c r="CH23" s="0">
        <v>10.000000000000128</v>
      </c>
    </row>
    <row r="24">
      <c r="AQ24" s="0">
        <v>69.419489009318284</v>
      </c>
      <c r="BA24" s="0">
        <v>80.24360865388617</v>
      </c>
      <c r="BL24" s="0">
        <v>95.938400331508376</v>
      </c>
      <c r="BW24" s="0">
        <v>155.56999999999999</v>
      </c>
      <c r="CH24" s="0">
        <v>40.492016215150493</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14</vt:i4>
      </vt:variant>
    </vt:vector>
  </HeadingPairs>
  <TitlesOfParts>
    <vt:vector size="19" baseType="lpstr">
      <vt:lpstr>Table of Contents</vt:lpstr>
      <vt:lpstr>diets</vt:lpstr>
      <vt:lpstr>nutrient content</vt:lpstr>
      <vt:lpstr>enviro</vt:lpstr>
      <vt:lpstr>summary</vt:lpstr>
      <vt:lpstr>diets!btbl2</vt:lpstr>
      <vt:lpstr>diets!btbl4fn1</vt:lpstr>
      <vt:lpstr>diets!btbl4fn10</vt:lpstr>
      <vt:lpstr>diets!btbl4fn11</vt:lpstr>
      <vt:lpstr>diets!btbl4fn12</vt:lpstr>
      <vt:lpstr>diets!btbl4fn13</vt:lpstr>
      <vt:lpstr>diets!btbl4fn2</vt:lpstr>
      <vt:lpstr>diets!btbl4fn3</vt:lpstr>
      <vt:lpstr>diets!btbl4fn4</vt:lpstr>
      <vt:lpstr>diets!btbl4fn5</vt:lpstr>
      <vt:lpstr>diets!btbl4fn6</vt:lpstr>
      <vt:lpstr>diets!btbl4fn7</vt:lpstr>
      <vt:lpstr>diets!btbl4fn8</vt:lpstr>
      <vt:lpstr>diets!btbl4fn9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Alon Shepon</dc:creator>
  <cp:keywords/>
  <dc:description/>
  <cp:lastModifiedBy>Alon Shepon</cp:lastModifiedBy>
  <cp:revision/>
  <dcterms:created xsi:type="dcterms:W3CDTF">2019-01-23T18:30:06Z</dcterms:created>
  <dcterms:modified xsi:type="dcterms:W3CDTF">2026-03-16T11:05:56Z</dcterms:modified>
  <cp:category/>
  <cp:contentStatus/>
</cp:coreProperties>
</file>